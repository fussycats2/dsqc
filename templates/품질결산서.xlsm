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cho\Downloads\"/>
    </mc:Choice>
  </mc:AlternateContent>
  <xr:revisionPtr revIDLastSave="0" documentId="13_ncr:1_{1D741ADD-1974-4433-970A-52082AC017F2}" xr6:coauthVersionLast="47" xr6:coauthVersionMax="47" xr10:uidLastSave="{00000000-0000-0000-0000-000000000000}"/>
  <bookViews>
    <workbookView xWindow="-110" yWindow="-110" windowWidth="38620" windowHeight="21100" firstSheet="19" activeTab="19" xr2:uid="{00000000-000D-0000-FFFF-FFFF00000000}"/>
  </bookViews>
  <sheets>
    <sheet name="품질관리부결산서" sheetId="1" state="hidden" r:id="rId1"/>
    <sheet name="이월" sheetId="6" state="hidden" r:id="rId2"/>
    <sheet name="이월 (3)" sheetId="7" state="hidden" r:id="rId3"/>
    <sheet name="이월 (2)" sheetId="8" state="hidden" r:id="rId4"/>
    <sheet name="이월 (5)" sheetId="9" state="hidden" r:id="rId5"/>
    <sheet name="이월 (4)" sheetId="10" state="hidden" r:id="rId6"/>
    <sheet name="이월 (7)" sheetId="11" state="hidden" r:id="rId7"/>
    <sheet name="이월 (6)" sheetId="12" state="hidden" r:id="rId8"/>
    <sheet name="이월 (9)" sheetId="13" state="hidden" r:id="rId9"/>
    <sheet name="이월 (8)" sheetId="14" state="hidden" r:id="rId10"/>
    <sheet name="이월 (11)" sheetId="15" state="hidden" r:id="rId11"/>
    <sheet name="이월 (10)" sheetId="16" state="hidden" r:id="rId12"/>
    <sheet name="이월 (15)" sheetId="19" state="hidden" r:id="rId13"/>
    <sheet name="이월 (13)" sheetId="17" state="hidden" r:id="rId14"/>
    <sheet name="이월 (12)" sheetId="18" state="hidden" r:id="rId15"/>
    <sheet name="이월 (16)" sheetId="20" state="hidden" r:id="rId16"/>
    <sheet name="이월 (14)" sheetId="21" state="hidden" r:id="rId17"/>
    <sheet name="이월 (18)" sheetId="22" state="hidden" r:id="rId18"/>
    <sheet name="이월 (17)" sheetId="23" state="hidden" r:id="rId19"/>
    <sheet name="일일결산서" sheetId="39" r:id="rId20"/>
  </sheets>
  <definedNames>
    <definedName name="_xlnm.Print_Area" localSheetId="1">이월!$A$1:$M$43</definedName>
    <definedName name="_xlnm.Print_Area" localSheetId="11">'이월 (10)'!$A$1:$N$44</definedName>
    <definedName name="_xlnm.Print_Area" localSheetId="10">'이월 (11)'!$A$1:$N$44</definedName>
    <definedName name="_xlnm.Print_Area" localSheetId="14">'이월 (12)'!$A$1:$N$44</definedName>
    <definedName name="_xlnm.Print_Area" localSheetId="13">'이월 (13)'!$A$1:$N$44</definedName>
    <definedName name="_xlnm.Print_Area" localSheetId="16">'이월 (14)'!$A$1:$N$44</definedName>
    <definedName name="_xlnm.Print_Area" localSheetId="12">'이월 (15)'!$A$1:$N$44</definedName>
    <definedName name="_xlnm.Print_Area" localSheetId="15">'이월 (16)'!$A$1:$N$44</definedName>
    <definedName name="_xlnm.Print_Area" localSheetId="18">'이월 (17)'!$A$1:$N$44</definedName>
    <definedName name="_xlnm.Print_Area" localSheetId="17">'이월 (18)'!$A$1:$N$44</definedName>
    <definedName name="_xlnm.Print_Area" localSheetId="3">'이월 (2)'!$A$1:$M$43</definedName>
    <definedName name="_xlnm.Print_Area" localSheetId="2">'이월 (3)'!$A$1:$M$43</definedName>
    <definedName name="_xlnm.Print_Area" localSheetId="5">'이월 (4)'!$A$1:$M$43</definedName>
    <definedName name="_xlnm.Print_Area" localSheetId="4">'이월 (5)'!$A$1:$M$43</definedName>
    <definedName name="_xlnm.Print_Area" localSheetId="7">'이월 (6)'!$A$1:$M$43</definedName>
    <definedName name="_xlnm.Print_Area" localSheetId="6">'이월 (7)'!$A$1:$M$43</definedName>
    <definedName name="_xlnm.Print_Area" localSheetId="9">'이월 (8)'!$A$1:$N$44</definedName>
    <definedName name="_xlnm.Print_Area" localSheetId="8">'이월 (9)'!$A$1:$M$43</definedName>
    <definedName name="_xlnm.Print_Area" localSheetId="19">일일결산서!$A$1:$M$46</definedName>
    <definedName name="_xlnm.Print_Area" localSheetId="0">품질관리부결산서!$A$1:$M$43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5" i="39" l="1"/>
  <c r="K37" i="39"/>
  <c r="J5" i="39"/>
  <c r="I29" i="39"/>
  <c r="I30" i="39"/>
  <c r="B12" i="39" l="1"/>
  <c r="L9" i="39" l="1"/>
  <c r="M9" i="39" s="1"/>
  <c r="J12" i="39"/>
  <c r="B36" i="39"/>
  <c r="L34" i="39"/>
  <c r="M34" i="39" s="1"/>
  <c r="L33" i="39"/>
  <c r="L10" i="39"/>
  <c r="M10" i="39" s="1"/>
  <c r="B21" i="39"/>
  <c r="B45" i="39"/>
  <c r="E39" i="39"/>
  <c r="K36" i="39"/>
  <c r="J36" i="39"/>
  <c r="I36" i="39"/>
  <c r="H36" i="39"/>
  <c r="G36" i="39"/>
  <c r="F36" i="39"/>
  <c r="E36" i="39"/>
  <c r="D36" i="39"/>
  <c r="C36" i="39"/>
  <c r="L35" i="39"/>
  <c r="M35" i="39" s="1"/>
  <c r="E15" i="39"/>
  <c r="K12" i="39"/>
  <c r="K13" i="39" s="1"/>
  <c r="I12" i="39"/>
  <c r="H12" i="39"/>
  <c r="G12" i="39"/>
  <c r="F12" i="39"/>
  <c r="E12" i="39"/>
  <c r="D12" i="39"/>
  <c r="C12" i="39"/>
  <c r="L11" i="39"/>
  <c r="M11" i="39" s="1"/>
  <c r="J6" i="39"/>
  <c r="B24" i="39" s="1"/>
  <c r="L36" i="39" l="1"/>
  <c r="M12" i="39"/>
  <c r="A24" i="39" s="1"/>
  <c r="C24" i="39" s="1"/>
  <c r="L12" i="39"/>
  <c r="M33" i="39"/>
  <c r="M36" i="39" s="1"/>
  <c r="K45" i="39" s="1"/>
  <c r="M45" i="39" s="1"/>
  <c r="B43" i="23"/>
  <c r="I40" i="23"/>
  <c r="E37" i="23"/>
  <c r="K33" i="23"/>
  <c r="L33" i="23" s="1"/>
  <c r="K32" i="23"/>
  <c r="L32" i="23" s="1"/>
  <c r="K31" i="23"/>
  <c r="L31" i="23" s="1"/>
  <c r="K30" i="23"/>
  <c r="L30" i="23" s="1"/>
  <c r="I27" i="23"/>
  <c r="I26" i="23"/>
  <c r="B21" i="23"/>
  <c r="I18" i="23"/>
  <c r="E15" i="23"/>
  <c r="J12" i="23"/>
  <c r="I12" i="23"/>
  <c r="H12" i="23"/>
  <c r="G12" i="23"/>
  <c r="F12" i="23"/>
  <c r="E12" i="23"/>
  <c r="D12" i="23"/>
  <c r="C12" i="23"/>
  <c r="B12" i="23"/>
  <c r="K11" i="23"/>
  <c r="L11" i="23" s="1"/>
  <c r="K10" i="23"/>
  <c r="L10" i="23" s="1"/>
  <c r="K9" i="23"/>
  <c r="L9" i="23" s="1"/>
  <c r="I6" i="23"/>
  <c r="I5" i="23"/>
  <c r="B43" i="22"/>
  <c r="I40" i="22"/>
  <c r="E37" i="22"/>
  <c r="K33" i="22"/>
  <c r="L33" i="22" s="1"/>
  <c r="K32" i="22"/>
  <c r="L32" i="22" s="1"/>
  <c r="K31" i="22"/>
  <c r="L31" i="22" s="1"/>
  <c r="K30" i="22"/>
  <c r="H27" i="22"/>
  <c r="H26" i="22"/>
  <c r="B21" i="22"/>
  <c r="I18" i="22"/>
  <c r="E15" i="22"/>
  <c r="J12" i="22"/>
  <c r="I12" i="22"/>
  <c r="H12" i="22"/>
  <c r="G12" i="22"/>
  <c r="F12" i="22"/>
  <c r="E12" i="22"/>
  <c r="D12" i="22"/>
  <c r="C12" i="22"/>
  <c r="B12" i="22"/>
  <c r="K11" i="22"/>
  <c r="L11" i="22" s="1"/>
  <c r="K10" i="22"/>
  <c r="L10" i="22" s="1"/>
  <c r="K9" i="22"/>
  <c r="L9" i="22" s="1"/>
  <c r="H6" i="22"/>
  <c r="H5" i="22"/>
  <c r="H26" i="21"/>
  <c r="B43" i="21"/>
  <c r="I40" i="21"/>
  <c r="E37" i="21"/>
  <c r="K33" i="21"/>
  <c r="L33" i="21" s="1"/>
  <c r="K32" i="21"/>
  <c r="L32" i="21" s="1"/>
  <c r="K31" i="21"/>
  <c r="L31" i="21" s="1"/>
  <c r="L30" i="21"/>
  <c r="K30" i="21"/>
  <c r="H27" i="21"/>
  <c r="B21" i="21"/>
  <c r="I18" i="21"/>
  <c r="E15" i="21"/>
  <c r="J12" i="21"/>
  <c r="I12" i="21"/>
  <c r="H12" i="21"/>
  <c r="G12" i="21"/>
  <c r="F12" i="21"/>
  <c r="E12" i="21"/>
  <c r="D12" i="21"/>
  <c r="C12" i="21"/>
  <c r="B12" i="21"/>
  <c r="K11" i="21"/>
  <c r="L11" i="21" s="1"/>
  <c r="K10" i="21"/>
  <c r="L10" i="21" s="1"/>
  <c r="K9" i="21"/>
  <c r="L9" i="21" s="1"/>
  <c r="H6" i="21"/>
  <c r="H5" i="21"/>
  <c r="B43" i="20"/>
  <c r="I40" i="20"/>
  <c r="E37" i="20"/>
  <c r="K33" i="20"/>
  <c r="L33" i="20" s="1"/>
  <c r="K32" i="20"/>
  <c r="L32" i="20" s="1"/>
  <c r="K31" i="20"/>
  <c r="L31" i="20" s="1"/>
  <c r="K30" i="20"/>
  <c r="L30" i="20" s="1"/>
  <c r="H27" i="20"/>
  <c r="H26" i="20"/>
  <c r="B21" i="20"/>
  <c r="I18" i="20"/>
  <c r="E15" i="20"/>
  <c r="J12" i="20"/>
  <c r="I12" i="20"/>
  <c r="H12" i="20"/>
  <c r="G12" i="20"/>
  <c r="F12" i="20"/>
  <c r="E12" i="20"/>
  <c r="D12" i="20"/>
  <c r="C12" i="20"/>
  <c r="B12" i="20"/>
  <c r="K11" i="20"/>
  <c r="L11" i="20" s="1"/>
  <c r="K10" i="20"/>
  <c r="L10" i="20" s="1"/>
  <c r="K9" i="20"/>
  <c r="L9" i="20" s="1"/>
  <c r="H6" i="20"/>
  <c r="H5" i="20"/>
  <c r="L43" i="23" l="1"/>
  <c r="K34" i="23"/>
  <c r="L34" i="23"/>
  <c r="K43" i="23" s="1"/>
  <c r="M21" i="23"/>
  <c r="L12" i="23"/>
  <c r="L21" i="23" s="1"/>
  <c r="K12" i="23"/>
  <c r="L43" i="22"/>
  <c r="M21" i="22"/>
  <c r="K34" i="22"/>
  <c r="L12" i="22"/>
  <c r="L21" i="22" s="1"/>
  <c r="K12" i="22"/>
  <c r="L30" i="22"/>
  <c r="L34" i="22" s="1"/>
  <c r="K43" i="22" s="1"/>
  <c r="L43" i="21"/>
  <c r="M21" i="21"/>
  <c r="K34" i="21"/>
  <c r="L12" i="21"/>
  <c r="L21" i="21" s="1"/>
  <c r="K12" i="21"/>
  <c r="L34" i="21"/>
  <c r="K43" i="21" s="1"/>
  <c r="L43" i="20"/>
  <c r="L12" i="20"/>
  <c r="L21" i="20" s="1"/>
  <c r="M21" i="20"/>
  <c r="L34" i="20"/>
  <c r="K43" i="20" s="1"/>
  <c r="M43" i="20" s="1"/>
  <c r="M44" i="20" s="1"/>
  <c r="K34" i="20"/>
  <c r="K12" i="20"/>
  <c r="B43" i="19"/>
  <c r="I40" i="19"/>
  <c r="E37" i="19"/>
  <c r="K33" i="19"/>
  <c r="L33" i="19" s="1"/>
  <c r="K32" i="19"/>
  <c r="L32" i="19" s="1"/>
  <c r="K31" i="19"/>
  <c r="L31" i="19" s="1"/>
  <c r="K30" i="19"/>
  <c r="H27" i="19"/>
  <c r="H26" i="19"/>
  <c r="B21" i="19"/>
  <c r="I18" i="19"/>
  <c r="E15" i="19"/>
  <c r="J12" i="19"/>
  <c r="I12" i="19"/>
  <c r="H12" i="19"/>
  <c r="G12" i="19"/>
  <c r="F12" i="19"/>
  <c r="E12" i="19"/>
  <c r="D12" i="19"/>
  <c r="C12" i="19"/>
  <c r="B12" i="19"/>
  <c r="K11" i="19"/>
  <c r="L11" i="19" s="1"/>
  <c r="K10" i="19"/>
  <c r="L10" i="19" s="1"/>
  <c r="K9" i="19"/>
  <c r="L9" i="19" s="1"/>
  <c r="H6" i="19"/>
  <c r="H5" i="19"/>
  <c r="B43" i="18"/>
  <c r="I40" i="18"/>
  <c r="E37" i="18"/>
  <c r="K33" i="18"/>
  <c r="L33" i="18" s="1"/>
  <c r="K32" i="18"/>
  <c r="L32" i="18" s="1"/>
  <c r="K31" i="18"/>
  <c r="L31" i="18" s="1"/>
  <c r="K30" i="18"/>
  <c r="H27" i="18"/>
  <c r="H26" i="18"/>
  <c r="B21" i="18"/>
  <c r="I18" i="18"/>
  <c r="E15" i="18"/>
  <c r="J12" i="18"/>
  <c r="I12" i="18"/>
  <c r="H12" i="18"/>
  <c r="G12" i="18"/>
  <c r="F12" i="18"/>
  <c r="E12" i="18"/>
  <c r="D12" i="18"/>
  <c r="C12" i="18"/>
  <c r="B12" i="18"/>
  <c r="K11" i="18"/>
  <c r="L11" i="18" s="1"/>
  <c r="K10" i="18"/>
  <c r="L10" i="18" s="1"/>
  <c r="K9" i="18"/>
  <c r="L9" i="18" s="1"/>
  <c r="H6" i="18"/>
  <c r="H5" i="18"/>
  <c r="B43" i="17"/>
  <c r="I40" i="17"/>
  <c r="E37" i="17"/>
  <c r="K33" i="17"/>
  <c r="L33" i="17" s="1"/>
  <c r="K32" i="17"/>
  <c r="L32" i="17" s="1"/>
  <c r="K31" i="17"/>
  <c r="L31" i="17" s="1"/>
  <c r="K30" i="17"/>
  <c r="H27" i="17"/>
  <c r="H26" i="17"/>
  <c r="B21" i="17"/>
  <c r="I18" i="17"/>
  <c r="E15" i="17"/>
  <c r="J12" i="17"/>
  <c r="I12" i="17"/>
  <c r="H12" i="17"/>
  <c r="G12" i="17"/>
  <c r="F12" i="17"/>
  <c r="E12" i="17"/>
  <c r="D12" i="17"/>
  <c r="C12" i="17"/>
  <c r="B12" i="17"/>
  <c r="K11" i="17"/>
  <c r="L11" i="17" s="1"/>
  <c r="K10" i="17"/>
  <c r="L10" i="17" s="1"/>
  <c r="K9" i="17"/>
  <c r="L9" i="17" s="1"/>
  <c r="H6" i="17"/>
  <c r="H5" i="17"/>
  <c r="B43" i="16"/>
  <c r="I40" i="16"/>
  <c r="E37" i="16"/>
  <c r="K33" i="16"/>
  <c r="L33" i="16" s="1"/>
  <c r="K32" i="16"/>
  <c r="L32" i="16" s="1"/>
  <c r="K31" i="16"/>
  <c r="L31" i="16" s="1"/>
  <c r="K30" i="16"/>
  <c r="H27" i="16"/>
  <c r="H26" i="16"/>
  <c r="B21" i="16"/>
  <c r="I18" i="16"/>
  <c r="E15" i="16"/>
  <c r="J12" i="16"/>
  <c r="I12" i="16"/>
  <c r="H12" i="16"/>
  <c r="G12" i="16"/>
  <c r="F12" i="16"/>
  <c r="E12" i="16"/>
  <c r="D12" i="16"/>
  <c r="C12" i="16"/>
  <c r="B12" i="16"/>
  <c r="K11" i="16"/>
  <c r="L11" i="16" s="1"/>
  <c r="K10" i="16"/>
  <c r="L10" i="16" s="1"/>
  <c r="K9" i="16"/>
  <c r="L9" i="16" s="1"/>
  <c r="H6" i="16"/>
  <c r="H5" i="16"/>
  <c r="B43" i="15"/>
  <c r="I40" i="15"/>
  <c r="E37" i="15"/>
  <c r="K33" i="15"/>
  <c r="L33" i="15" s="1"/>
  <c r="K32" i="15"/>
  <c r="L32" i="15" s="1"/>
  <c r="K31" i="15"/>
  <c r="L31" i="15" s="1"/>
  <c r="K30" i="15"/>
  <c r="L30" i="15" s="1"/>
  <c r="H27" i="15"/>
  <c r="H26" i="15"/>
  <c r="B21" i="15"/>
  <c r="I18" i="15"/>
  <c r="E15" i="15"/>
  <c r="J12" i="15"/>
  <c r="I12" i="15"/>
  <c r="H12" i="15"/>
  <c r="G12" i="15"/>
  <c r="F12" i="15"/>
  <c r="E12" i="15"/>
  <c r="D12" i="15"/>
  <c r="C12" i="15"/>
  <c r="B12" i="15"/>
  <c r="K11" i="15"/>
  <c r="L11" i="15" s="1"/>
  <c r="K10" i="15"/>
  <c r="L10" i="15" s="1"/>
  <c r="K9" i="15"/>
  <c r="L9" i="15" s="1"/>
  <c r="H6" i="15"/>
  <c r="H5" i="15"/>
  <c r="E37" i="14"/>
  <c r="B43" i="14"/>
  <c r="I40" i="14"/>
  <c r="K33" i="14"/>
  <c r="L33" i="14" s="1"/>
  <c r="K32" i="14"/>
  <c r="L32" i="14" s="1"/>
  <c r="K31" i="14"/>
  <c r="L31" i="14" s="1"/>
  <c r="K30" i="14"/>
  <c r="H27" i="14"/>
  <c r="H26" i="14"/>
  <c r="B21" i="14"/>
  <c r="I18" i="14"/>
  <c r="E15" i="14"/>
  <c r="J12" i="14"/>
  <c r="I12" i="14"/>
  <c r="H12" i="14"/>
  <c r="G12" i="14"/>
  <c r="F12" i="14"/>
  <c r="E12" i="14"/>
  <c r="D12" i="14"/>
  <c r="C12" i="14"/>
  <c r="B12" i="14"/>
  <c r="K11" i="14"/>
  <c r="L11" i="14" s="1"/>
  <c r="K10" i="14"/>
  <c r="L10" i="14" s="1"/>
  <c r="K9" i="14"/>
  <c r="H6" i="14"/>
  <c r="H5" i="14"/>
  <c r="M21" i="14" s="1"/>
  <c r="B43" i="13"/>
  <c r="I40" i="13"/>
  <c r="E37" i="13"/>
  <c r="K33" i="13"/>
  <c r="L33" i="13" s="1"/>
  <c r="K32" i="13"/>
  <c r="L32" i="13" s="1"/>
  <c r="K31" i="13"/>
  <c r="L31" i="13" s="1"/>
  <c r="K30" i="13"/>
  <c r="L30" i="13" s="1"/>
  <c r="H27" i="13"/>
  <c r="H26" i="13"/>
  <c r="B21" i="13"/>
  <c r="I18" i="13"/>
  <c r="E15" i="13"/>
  <c r="J12" i="13"/>
  <c r="I12" i="13"/>
  <c r="H12" i="13"/>
  <c r="G12" i="13"/>
  <c r="F12" i="13"/>
  <c r="E12" i="13"/>
  <c r="D12" i="13"/>
  <c r="C12" i="13"/>
  <c r="B12" i="13"/>
  <c r="K11" i="13"/>
  <c r="L11" i="13" s="1"/>
  <c r="K10" i="13"/>
  <c r="L10" i="13" s="1"/>
  <c r="K9" i="13"/>
  <c r="L9" i="13" s="1"/>
  <c r="H6" i="13"/>
  <c r="H5" i="13"/>
  <c r="B43" i="12"/>
  <c r="I40" i="12"/>
  <c r="E37" i="12"/>
  <c r="K33" i="12"/>
  <c r="L33" i="12" s="1"/>
  <c r="K32" i="12"/>
  <c r="L32" i="12" s="1"/>
  <c r="K31" i="12"/>
  <c r="L31" i="12" s="1"/>
  <c r="K30" i="12"/>
  <c r="L30" i="12" s="1"/>
  <c r="H27" i="12"/>
  <c r="H26" i="12"/>
  <c r="B21" i="12"/>
  <c r="I18" i="12"/>
  <c r="E15" i="12"/>
  <c r="J12" i="12"/>
  <c r="I12" i="12"/>
  <c r="H12" i="12"/>
  <c r="G12" i="12"/>
  <c r="F12" i="12"/>
  <c r="E12" i="12"/>
  <c r="D12" i="12"/>
  <c r="C12" i="12"/>
  <c r="B12" i="12"/>
  <c r="K11" i="12"/>
  <c r="L11" i="12" s="1"/>
  <c r="K10" i="12"/>
  <c r="L10" i="12" s="1"/>
  <c r="K9" i="12"/>
  <c r="L9" i="12" s="1"/>
  <c r="H6" i="12"/>
  <c r="H5" i="12"/>
  <c r="B43" i="11"/>
  <c r="I40" i="11"/>
  <c r="E37" i="11"/>
  <c r="K33" i="11"/>
  <c r="L33" i="11" s="1"/>
  <c r="K32" i="11"/>
  <c r="L32" i="11" s="1"/>
  <c r="K31" i="11"/>
  <c r="L31" i="11" s="1"/>
  <c r="K30" i="11"/>
  <c r="L30" i="11" s="1"/>
  <c r="H27" i="11"/>
  <c r="H26" i="11"/>
  <c r="B21" i="11"/>
  <c r="I18" i="11"/>
  <c r="E15" i="11"/>
  <c r="J12" i="11"/>
  <c r="I12" i="11"/>
  <c r="H12" i="11"/>
  <c r="G12" i="11"/>
  <c r="F12" i="11"/>
  <c r="E12" i="11"/>
  <c r="D12" i="11"/>
  <c r="C12" i="11"/>
  <c r="B12" i="11"/>
  <c r="K11" i="11"/>
  <c r="L11" i="11" s="1"/>
  <c r="K10" i="11"/>
  <c r="L10" i="11" s="1"/>
  <c r="K9" i="11"/>
  <c r="H6" i="11"/>
  <c r="H5" i="11"/>
  <c r="B43" i="10"/>
  <c r="I40" i="10"/>
  <c r="E37" i="10"/>
  <c r="K33" i="10"/>
  <c r="L33" i="10" s="1"/>
  <c r="K32" i="10"/>
  <c r="L32" i="10" s="1"/>
  <c r="K31" i="10"/>
  <c r="L31" i="10" s="1"/>
  <c r="L30" i="10"/>
  <c r="K30" i="10"/>
  <c r="H27" i="10"/>
  <c r="H26" i="10"/>
  <c r="B21" i="10"/>
  <c r="I18" i="10"/>
  <c r="E15" i="10"/>
  <c r="J12" i="10"/>
  <c r="I12" i="10"/>
  <c r="H12" i="10"/>
  <c r="G12" i="10"/>
  <c r="F12" i="10"/>
  <c r="E12" i="10"/>
  <c r="D12" i="10"/>
  <c r="C12" i="10"/>
  <c r="B12" i="10"/>
  <c r="K11" i="10"/>
  <c r="L11" i="10" s="1"/>
  <c r="K10" i="10"/>
  <c r="L10" i="10" s="1"/>
  <c r="K9" i="10"/>
  <c r="L9" i="10" s="1"/>
  <c r="H6" i="10"/>
  <c r="H5" i="10"/>
  <c r="B43" i="9"/>
  <c r="I40" i="9"/>
  <c r="E37" i="9"/>
  <c r="K33" i="9"/>
  <c r="L33" i="9" s="1"/>
  <c r="K32" i="9"/>
  <c r="L32" i="9" s="1"/>
  <c r="K31" i="9"/>
  <c r="L31" i="9" s="1"/>
  <c r="K30" i="9"/>
  <c r="L30" i="9" s="1"/>
  <c r="H27" i="9"/>
  <c r="H26" i="9"/>
  <c r="B21" i="9"/>
  <c r="I18" i="9"/>
  <c r="E15" i="9"/>
  <c r="J12" i="9"/>
  <c r="I12" i="9"/>
  <c r="H12" i="9"/>
  <c r="G12" i="9"/>
  <c r="F12" i="9"/>
  <c r="E12" i="9"/>
  <c r="D12" i="9"/>
  <c r="C12" i="9"/>
  <c r="B12" i="9"/>
  <c r="K11" i="9"/>
  <c r="L11" i="9" s="1"/>
  <c r="K10" i="9"/>
  <c r="L10" i="9" s="1"/>
  <c r="K9" i="9"/>
  <c r="L9" i="9" s="1"/>
  <c r="H6" i="9"/>
  <c r="H5" i="9"/>
  <c r="B43" i="8"/>
  <c r="I40" i="8"/>
  <c r="E37" i="8"/>
  <c r="K33" i="8"/>
  <c r="L33" i="8" s="1"/>
  <c r="K32" i="8"/>
  <c r="L32" i="8" s="1"/>
  <c r="K31" i="8"/>
  <c r="L31" i="8" s="1"/>
  <c r="K30" i="8"/>
  <c r="L30" i="8" s="1"/>
  <c r="H27" i="8"/>
  <c r="H26" i="8"/>
  <c r="B21" i="8"/>
  <c r="I18" i="8"/>
  <c r="E15" i="8"/>
  <c r="J12" i="8"/>
  <c r="I12" i="8"/>
  <c r="H12" i="8"/>
  <c r="G12" i="8"/>
  <c r="F12" i="8"/>
  <c r="E12" i="8"/>
  <c r="D12" i="8"/>
  <c r="C12" i="8"/>
  <c r="B12" i="8"/>
  <c r="K11" i="8"/>
  <c r="K10" i="8"/>
  <c r="L10" i="8" s="1"/>
  <c r="K9" i="8"/>
  <c r="L9" i="8" s="1"/>
  <c r="H6" i="8"/>
  <c r="H5" i="8"/>
  <c r="B43" i="7"/>
  <c r="I40" i="7"/>
  <c r="E37" i="7"/>
  <c r="K33" i="7"/>
  <c r="L33" i="7" s="1"/>
  <c r="K32" i="7"/>
  <c r="L32" i="7" s="1"/>
  <c r="K31" i="7"/>
  <c r="L31" i="7" s="1"/>
  <c r="K30" i="7"/>
  <c r="L30" i="7" s="1"/>
  <c r="H27" i="7"/>
  <c r="H26" i="7"/>
  <c r="B21" i="7"/>
  <c r="I18" i="7"/>
  <c r="E15" i="7"/>
  <c r="J12" i="7"/>
  <c r="I12" i="7"/>
  <c r="H12" i="7"/>
  <c r="G12" i="7"/>
  <c r="F12" i="7"/>
  <c r="E12" i="7"/>
  <c r="D12" i="7"/>
  <c r="C12" i="7"/>
  <c r="B12" i="7"/>
  <c r="K11" i="7"/>
  <c r="L11" i="7" s="1"/>
  <c r="K10" i="7"/>
  <c r="L10" i="7" s="1"/>
  <c r="K9" i="7"/>
  <c r="L9" i="7" s="1"/>
  <c r="H6" i="7"/>
  <c r="H5" i="7"/>
  <c r="B43" i="6"/>
  <c r="I40" i="6"/>
  <c r="E37" i="6"/>
  <c r="K33" i="6"/>
  <c r="L33" i="6" s="1"/>
  <c r="K32" i="6"/>
  <c r="L32" i="6" s="1"/>
  <c r="K31" i="6"/>
  <c r="L31" i="6" s="1"/>
  <c r="K30" i="6"/>
  <c r="L30" i="6" s="1"/>
  <c r="H27" i="6"/>
  <c r="H26" i="6"/>
  <c r="B21" i="6"/>
  <c r="I18" i="6"/>
  <c r="E15" i="6"/>
  <c r="J12" i="6"/>
  <c r="I12" i="6"/>
  <c r="H12" i="6"/>
  <c r="G12" i="6"/>
  <c r="F12" i="6"/>
  <c r="E12" i="6"/>
  <c r="D12" i="6"/>
  <c r="C12" i="6"/>
  <c r="B12" i="6"/>
  <c r="K11" i="6"/>
  <c r="L11" i="6" s="1"/>
  <c r="K10" i="6"/>
  <c r="L10" i="6" s="1"/>
  <c r="K9" i="6"/>
  <c r="H6" i="6"/>
  <c r="H5" i="6"/>
  <c r="L12" i="10" l="1"/>
  <c r="K21" i="10" s="1"/>
  <c r="M43" i="23"/>
  <c r="M44" i="23" s="1"/>
  <c r="N21" i="23"/>
  <c r="N22" i="23" s="1"/>
  <c r="M43" i="22"/>
  <c r="M44" i="22" s="1"/>
  <c r="N21" i="22"/>
  <c r="N22" i="22" s="1"/>
  <c r="M43" i="21"/>
  <c r="M44" i="21" s="1"/>
  <c r="N21" i="21"/>
  <c r="N22" i="21" s="1"/>
  <c r="N21" i="20"/>
  <c r="N22" i="20" s="1"/>
  <c r="L43" i="19"/>
  <c r="M21" i="19"/>
  <c r="K34" i="19"/>
  <c r="L30" i="19"/>
  <c r="L34" i="19" s="1"/>
  <c r="K43" i="19" s="1"/>
  <c r="L12" i="19"/>
  <c r="L21" i="19" s="1"/>
  <c r="K12" i="19"/>
  <c r="L12" i="18"/>
  <c r="L21" i="18" s="1"/>
  <c r="K34" i="18"/>
  <c r="L43" i="18"/>
  <c r="M21" i="18"/>
  <c r="K12" i="18"/>
  <c r="L30" i="18"/>
  <c r="L34" i="18" s="1"/>
  <c r="K43" i="18" s="1"/>
  <c r="K34" i="17"/>
  <c r="L12" i="17"/>
  <c r="L21" i="17" s="1"/>
  <c r="L43" i="17"/>
  <c r="M21" i="17"/>
  <c r="K12" i="17"/>
  <c r="L30" i="17"/>
  <c r="L34" i="17" s="1"/>
  <c r="K43" i="17" s="1"/>
  <c r="M21" i="16"/>
  <c r="L43" i="16"/>
  <c r="K34" i="16"/>
  <c r="L30" i="16"/>
  <c r="L34" i="16" s="1"/>
  <c r="K43" i="16" s="1"/>
  <c r="L12" i="16"/>
  <c r="L21" i="16" s="1"/>
  <c r="K12" i="16"/>
  <c r="K34" i="15"/>
  <c r="L43" i="15"/>
  <c r="M21" i="15"/>
  <c r="L34" i="15"/>
  <c r="K43" i="15" s="1"/>
  <c r="K12" i="15"/>
  <c r="L12" i="15"/>
  <c r="L21" i="15"/>
  <c r="L43" i="14"/>
  <c r="K12" i="14"/>
  <c r="L9" i="14"/>
  <c r="L12" i="14" s="1"/>
  <c r="L21" i="14" s="1"/>
  <c r="N21" i="14" s="1"/>
  <c r="K34" i="14"/>
  <c r="L30" i="14"/>
  <c r="L34" i="14" s="1"/>
  <c r="K43" i="14" s="1"/>
  <c r="L34" i="13"/>
  <c r="K43" i="13" s="1"/>
  <c r="L43" i="13"/>
  <c r="L21" i="13"/>
  <c r="L12" i="13"/>
  <c r="K21" i="13" s="1"/>
  <c r="K34" i="13"/>
  <c r="K12" i="13"/>
  <c r="L34" i="12"/>
  <c r="K43" i="12" s="1"/>
  <c r="L43" i="12"/>
  <c r="L21" i="12"/>
  <c r="L12" i="12"/>
  <c r="K21" i="12" s="1"/>
  <c r="K34" i="12"/>
  <c r="K12" i="12"/>
  <c r="L34" i="11"/>
  <c r="K43" i="11" s="1"/>
  <c r="L43" i="11"/>
  <c r="K12" i="11"/>
  <c r="L9" i="11"/>
  <c r="L12" i="11" s="1"/>
  <c r="K21" i="11" s="1"/>
  <c r="L21" i="11"/>
  <c r="K34" i="11"/>
  <c r="K34" i="10"/>
  <c r="L43" i="10"/>
  <c r="K12" i="10"/>
  <c r="L21" i="10"/>
  <c r="L34" i="10"/>
  <c r="L43" i="9"/>
  <c r="L21" i="9"/>
  <c r="L12" i="9"/>
  <c r="K21" i="9" s="1"/>
  <c r="K12" i="9"/>
  <c r="L34" i="9"/>
  <c r="K43" i="9" s="1"/>
  <c r="K34" i="9"/>
  <c r="L43" i="8"/>
  <c r="L21" i="8"/>
  <c r="K12" i="8"/>
  <c r="L11" i="8"/>
  <c r="L12" i="8" s="1"/>
  <c r="K21" i="8" s="1"/>
  <c r="L34" i="8"/>
  <c r="K43" i="8" s="1"/>
  <c r="K34" i="8"/>
  <c r="L43" i="7"/>
  <c r="L12" i="7"/>
  <c r="K21" i="7" s="1"/>
  <c r="K12" i="7"/>
  <c r="L21" i="7"/>
  <c r="L34" i="7"/>
  <c r="K43" i="7" s="1"/>
  <c r="K34" i="7"/>
  <c r="L43" i="6"/>
  <c r="L34" i="6"/>
  <c r="K43" i="6" s="1"/>
  <c r="K12" i="6"/>
  <c r="L21" i="6"/>
  <c r="K34" i="6"/>
  <c r="L9" i="6"/>
  <c r="L12" i="6" s="1"/>
  <c r="K21" i="6" s="1"/>
  <c r="I40" i="1"/>
  <c r="I18" i="1"/>
  <c r="B43" i="1"/>
  <c r="B21" i="1"/>
  <c r="H5" i="1"/>
  <c r="J12" i="1"/>
  <c r="I12" i="1"/>
  <c r="H12" i="1"/>
  <c r="G12" i="1"/>
  <c r="F12" i="1"/>
  <c r="C12" i="1"/>
  <c r="D12" i="1"/>
  <c r="E12" i="1"/>
  <c r="B12" i="1"/>
  <c r="E37" i="1"/>
  <c r="E15" i="1"/>
  <c r="K33" i="1"/>
  <c r="L33" i="1" s="1"/>
  <c r="K32" i="1"/>
  <c r="L32" i="1" s="1"/>
  <c r="K31" i="1"/>
  <c r="L31" i="1" s="1"/>
  <c r="K30" i="1"/>
  <c r="L30" i="1" s="1"/>
  <c r="K9" i="1"/>
  <c r="K10" i="1"/>
  <c r="L10" i="1" s="1"/>
  <c r="K11" i="1"/>
  <c r="L11" i="1" s="1"/>
  <c r="H27" i="1"/>
  <c r="H26" i="1"/>
  <c r="H6" i="1"/>
  <c r="L21" i="1" s="1"/>
  <c r="K43" i="10" l="1"/>
  <c r="M43" i="10" s="1"/>
  <c r="M43" i="19"/>
  <c r="M44" i="19" s="1"/>
  <c r="N21" i="19"/>
  <c r="N22" i="19" s="1"/>
  <c r="N21" i="18"/>
  <c r="N22" i="18" s="1"/>
  <c r="M43" i="18"/>
  <c r="M44" i="18" s="1"/>
  <c r="M43" i="17"/>
  <c r="M44" i="17" s="1"/>
  <c r="N21" i="17"/>
  <c r="N22" i="17" s="1"/>
  <c r="N21" i="16"/>
  <c r="N22" i="16" s="1"/>
  <c r="M43" i="16"/>
  <c r="M44" i="16" s="1"/>
  <c r="M43" i="15"/>
  <c r="M44" i="15" s="1"/>
  <c r="N21" i="15"/>
  <c r="N22" i="15" s="1"/>
  <c r="M43" i="14"/>
  <c r="M44" i="14" s="1"/>
  <c r="N22" i="14"/>
  <c r="M43" i="13"/>
  <c r="M21" i="13"/>
  <c r="M22" i="13" s="1"/>
  <c r="M43" i="12"/>
  <c r="M21" i="12"/>
  <c r="M22" i="12" s="1"/>
  <c r="M43" i="11"/>
  <c r="M21" i="11"/>
  <c r="M22" i="11" s="1"/>
  <c r="M21" i="10"/>
  <c r="M22" i="10" s="1"/>
  <c r="M43" i="9"/>
  <c r="M21" i="9"/>
  <c r="M43" i="8"/>
  <c r="M21" i="8"/>
  <c r="M43" i="7"/>
  <c r="M21" i="7"/>
  <c r="M43" i="6"/>
  <c r="M21" i="6"/>
  <c r="L43" i="1"/>
  <c r="K12" i="1"/>
  <c r="L9" i="1"/>
  <c r="L12" i="1" s="1"/>
  <c r="L34" i="1"/>
  <c r="K43" i="1" s="1"/>
  <c r="M43" i="1" s="1"/>
  <c r="K34" i="1"/>
  <c r="K21" i="1" l="1"/>
  <c r="M21" i="1" s="1"/>
</calcChain>
</file>

<file path=xl/sharedStrings.xml><?xml version="1.0" encoding="utf-8"?>
<sst xmlns="http://schemas.openxmlformats.org/spreadsheetml/2006/main" count="2417" uniqueCount="74">
  <si>
    <t>전일재고</t>
    <phoneticPr fontId="1" type="noConversion"/>
  </si>
  <si>
    <t>K18</t>
    <phoneticPr fontId="1" type="noConversion"/>
  </si>
  <si>
    <t>부서별거래</t>
    <phoneticPr fontId="1" type="noConversion"/>
  </si>
  <si>
    <t>입고</t>
    <phoneticPr fontId="1" type="noConversion"/>
  </si>
  <si>
    <t>출고</t>
    <phoneticPr fontId="1" type="noConversion"/>
  </si>
  <si>
    <t>관리</t>
    <phoneticPr fontId="1" type="noConversion"/>
  </si>
  <si>
    <t>조립부</t>
    <phoneticPr fontId="1" type="noConversion"/>
  </si>
  <si>
    <t>캐스팅부</t>
    <phoneticPr fontId="1" type="noConversion"/>
  </si>
  <si>
    <t>개발부</t>
    <phoneticPr fontId="1" type="noConversion"/>
  </si>
  <si>
    <t>컷팅</t>
    <phoneticPr fontId="1" type="noConversion"/>
  </si>
  <si>
    <t>검수</t>
    <phoneticPr fontId="1" type="noConversion"/>
  </si>
  <si>
    <t>계</t>
    <phoneticPr fontId="1" type="noConversion"/>
  </si>
  <si>
    <t>K14</t>
    <phoneticPr fontId="1" type="noConversion"/>
  </si>
  <si>
    <t>분석투입량</t>
    <phoneticPr fontId="1" type="noConversion"/>
  </si>
  <si>
    <t>연마</t>
    <phoneticPr fontId="1" type="noConversion"/>
  </si>
  <si>
    <t>스트립핑</t>
    <phoneticPr fontId="1" type="noConversion"/>
  </si>
  <si>
    <t>빠우</t>
    <phoneticPr fontId="1" type="noConversion"/>
  </si>
  <si>
    <t>기타</t>
    <phoneticPr fontId="1" type="noConversion"/>
  </si>
  <si>
    <t>조립</t>
    <phoneticPr fontId="1" type="noConversion"/>
  </si>
  <si>
    <t>캐스팅</t>
    <phoneticPr fontId="1" type="noConversion"/>
  </si>
  <si>
    <t>재료</t>
    <phoneticPr fontId="1" type="noConversion"/>
  </si>
  <si>
    <t>초광</t>
    <phoneticPr fontId="1" type="noConversion"/>
  </si>
  <si>
    <t>제품</t>
    <phoneticPr fontId="1" type="noConversion"/>
  </si>
  <si>
    <t>재작업</t>
    <phoneticPr fontId="1" type="noConversion"/>
  </si>
  <si>
    <t>돌가랑</t>
    <phoneticPr fontId="1" type="noConversion"/>
  </si>
  <si>
    <t>전일누계</t>
    <phoneticPr fontId="1" type="noConversion"/>
  </si>
  <si>
    <t>누계</t>
    <phoneticPr fontId="1" type="noConversion"/>
  </si>
  <si>
    <t>분석업체</t>
    <phoneticPr fontId="1" type="noConversion"/>
  </si>
  <si>
    <t>중량</t>
    <phoneticPr fontId="1" type="noConversion"/>
  </si>
  <si>
    <t>위탁</t>
    <phoneticPr fontId="1" type="noConversion"/>
  </si>
  <si>
    <t>실재고</t>
    <phoneticPr fontId="1" type="noConversion"/>
  </si>
  <si>
    <t>장부재고</t>
    <phoneticPr fontId="1" type="noConversion"/>
  </si>
  <si>
    <t>차중량</t>
    <phoneticPr fontId="1" type="noConversion"/>
  </si>
  <si>
    <t>바코드투입</t>
    <phoneticPr fontId="1" type="noConversion"/>
  </si>
  <si>
    <t>분석중량</t>
    <phoneticPr fontId="1" type="noConversion"/>
  </si>
  <si>
    <t>현분대체</t>
    <phoneticPr fontId="1" type="noConversion"/>
  </si>
  <si>
    <t>K18 재 고 결 산</t>
    <phoneticPr fontId="1" type="noConversion"/>
  </si>
  <si>
    <t>K14 재 고 결 산</t>
    <phoneticPr fontId="1" type="noConversion"/>
  </si>
  <si>
    <t>바코드누계</t>
    <phoneticPr fontId="1" type="noConversion"/>
  </si>
  <si>
    <t>공장장</t>
    <phoneticPr fontId="1" type="noConversion"/>
  </si>
  <si>
    <t>관리이사</t>
    <phoneticPr fontId="1" type="noConversion"/>
  </si>
  <si>
    <t>대표이사</t>
    <phoneticPr fontId="1" type="noConversion"/>
  </si>
  <si>
    <t>결
재</t>
    <phoneticPr fontId="1" type="noConversion"/>
  </si>
  <si>
    <t>담  당</t>
    <phoneticPr fontId="1" type="noConversion"/>
  </si>
  <si>
    <t xml:space="preserve">품질관리부 일일 결산서 </t>
    <phoneticPr fontId="1" type="noConversion"/>
  </si>
  <si>
    <t>바코드 전일누계</t>
    <phoneticPr fontId="1" type="noConversion"/>
  </si>
  <si>
    <t>조립기계</t>
    <phoneticPr fontId="1" type="noConversion"/>
  </si>
  <si>
    <t>2차작업</t>
    <phoneticPr fontId="1" type="noConversion"/>
  </si>
  <si>
    <t>고정값</t>
    <phoneticPr fontId="1" type="noConversion"/>
  </si>
  <si>
    <t>조립양장</t>
    <phoneticPr fontId="1" type="noConversion"/>
  </si>
  <si>
    <t>캐.패션</t>
    <phoneticPr fontId="1" type="noConversion"/>
  </si>
  <si>
    <t>캐.양장,체인</t>
    <phoneticPr fontId="1" type="noConversion"/>
  </si>
  <si>
    <t>조립초광</t>
    <phoneticPr fontId="1" type="noConversion"/>
  </si>
  <si>
    <t>캐,초광</t>
    <phoneticPr fontId="1" type="noConversion"/>
  </si>
  <si>
    <t>땜</t>
    <phoneticPr fontId="1" type="noConversion"/>
  </si>
  <si>
    <t>캐.초광</t>
    <phoneticPr fontId="1" type="noConversion"/>
  </si>
  <si>
    <t>캐스팅초광</t>
    <phoneticPr fontId="1" type="noConversion"/>
  </si>
  <si>
    <t>소매</t>
    <phoneticPr fontId="1" type="noConversion"/>
  </si>
  <si>
    <t>.</t>
    <phoneticPr fontId="1" type="noConversion"/>
  </si>
  <si>
    <t>조립2차</t>
    <phoneticPr fontId="1" type="noConversion"/>
  </si>
  <si>
    <t>캐스팅2차</t>
    <phoneticPr fontId="1" type="noConversion"/>
  </si>
  <si>
    <t xml:space="preserve">
품질관리부 일일 결산서 </t>
    <phoneticPr fontId="1" type="noConversion"/>
  </si>
  <si>
    <t>-</t>
    <phoneticPr fontId="1" type="noConversion"/>
  </si>
  <si>
    <t>현.분 3500</t>
    <phoneticPr fontId="1" type="noConversion"/>
  </si>
  <si>
    <t>고정값2</t>
    <phoneticPr fontId="1" type="noConversion"/>
  </si>
  <si>
    <t>고정값1</t>
    <phoneticPr fontId="1" type="noConversion"/>
  </si>
  <si>
    <t>분석</t>
    <phoneticPr fontId="1" type="noConversion"/>
  </si>
  <si>
    <t>바코드</t>
    <phoneticPr fontId="1" type="noConversion"/>
  </si>
  <si>
    <t>현분잔량 18</t>
    <phoneticPr fontId="1" type="noConversion"/>
  </si>
  <si>
    <t>현분잔량</t>
    <phoneticPr fontId="1" type="noConversion"/>
  </si>
  <si>
    <t>기계</t>
    <phoneticPr fontId="1" type="noConversion"/>
  </si>
  <si>
    <t>양장</t>
    <phoneticPr fontId="1" type="noConversion"/>
  </si>
  <si>
    <t>당일누계</t>
    <phoneticPr fontId="1" type="noConversion"/>
  </si>
  <si>
    <t>담 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</si>
</sst>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0_ "/>
    <numFmt numFmtId="177" formatCode="[$-F800]dddd\,\ mmmm\ dd\,\ yyyy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10"/>
      <color rgb="FF0070C0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4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dashed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0" fontId="2" fillId="0" borderId="0" xfId="0" applyFont="1">
      <alignment vertical="center"/>
    </xf>
    <xf numFmtId="176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176" fontId="2" fillId="0" borderId="1" xfId="0" applyNumberFormat="1" applyFont="1" applyBorder="1">
      <alignment vertical="center"/>
    </xf>
    <xf numFmtId="176" fontId="2" fillId="0" borderId="0" xfId="0" applyNumberFormat="1" applyFont="1" applyBorder="1">
      <alignment vertical="center"/>
    </xf>
    <xf numFmtId="176" fontId="2" fillId="3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>
      <alignment vertical="center"/>
    </xf>
    <xf numFmtId="176" fontId="2" fillId="0" borderId="3" xfId="0" applyNumberFormat="1" applyFont="1" applyBorder="1" applyAlignment="1">
      <alignment horizontal="center" vertical="center"/>
    </xf>
    <xf numFmtId="176" fontId="2" fillId="0" borderId="3" xfId="0" applyNumberFormat="1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6" fontId="2" fillId="0" borderId="4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6" fontId="2" fillId="0" borderId="6" xfId="0" applyNumberFormat="1" applyFont="1" applyBorder="1">
      <alignment vertical="center"/>
    </xf>
    <xf numFmtId="176" fontId="2" fillId="3" borderId="7" xfId="0" applyNumberFormat="1" applyFont="1" applyFill="1" applyBorder="1">
      <alignment vertical="center"/>
    </xf>
    <xf numFmtId="176" fontId="2" fillId="0" borderId="2" xfId="0" applyNumberFormat="1" applyFont="1" applyBorder="1">
      <alignment vertical="center"/>
    </xf>
    <xf numFmtId="176" fontId="2" fillId="3" borderId="3" xfId="0" applyNumberFormat="1" applyFont="1" applyFill="1" applyBorder="1">
      <alignment vertical="center"/>
    </xf>
    <xf numFmtId="176" fontId="2" fillId="3" borderId="6" xfId="0" applyNumberFormat="1" applyFont="1" applyFill="1" applyBorder="1">
      <alignment vertical="center"/>
    </xf>
    <xf numFmtId="176" fontId="2" fillId="3" borderId="4" xfId="0" applyNumberFormat="1" applyFont="1" applyFill="1" applyBorder="1">
      <alignment vertical="center"/>
    </xf>
    <xf numFmtId="176" fontId="3" fillId="0" borderId="5" xfId="0" applyNumberFormat="1" applyFont="1" applyBorder="1" applyAlignment="1">
      <alignment horizontal="center" vertical="center"/>
    </xf>
    <xf numFmtId="176" fontId="3" fillId="0" borderId="2" xfId="0" applyNumberFormat="1" applyFont="1" applyBorder="1">
      <alignment vertical="center"/>
    </xf>
    <xf numFmtId="176" fontId="3" fillId="0" borderId="6" xfId="0" applyNumberFormat="1" applyFont="1" applyBorder="1">
      <alignment vertical="center"/>
    </xf>
    <xf numFmtId="176" fontId="3" fillId="3" borderId="6" xfId="0" applyNumberFormat="1" applyFont="1" applyFill="1" applyBorder="1">
      <alignment vertical="center"/>
    </xf>
    <xf numFmtId="176" fontId="3" fillId="0" borderId="8" xfId="0" applyNumberFormat="1" applyFont="1" applyBorder="1" applyAlignment="1">
      <alignment horizontal="center" vertical="center"/>
    </xf>
    <xf numFmtId="176" fontId="3" fillId="0" borderId="9" xfId="0" applyNumberFormat="1" applyFont="1" applyBorder="1" applyAlignment="1">
      <alignment horizontal="center" vertical="center"/>
    </xf>
    <xf numFmtId="176" fontId="3" fillId="0" borderId="10" xfId="0" applyNumberFormat="1" applyFont="1" applyBorder="1">
      <alignment vertical="center"/>
    </xf>
    <xf numFmtId="176" fontId="3" fillId="0" borderId="11" xfId="0" applyNumberFormat="1" applyFont="1" applyBorder="1">
      <alignment vertical="center"/>
    </xf>
    <xf numFmtId="176" fontId="4" fillId="0" borderId="4" xfId="0" applyNumberFormat="1" applyFont="1" applyBorder="1" applyAlignment="1">
      <alignment horizontal="center" vertical="center"/>
    </xf>
    <xf numFmtId="176" fontId="5" fillId="0" borderId="4" xfId="0" applyNumberFormat="1" applyFont="1" applyBorder="1">
      <alignment vertical="center"/>
    </xf>
    <xf numFmtId="176" fontId="3" fillId="3" borderId="1" xfId="0" applyNumberFormat="1" applyFont="1" applyFill="1" applyBorder="1" applyAlignment="1">
      <alignment horizontal="center" vertical="center"/>
    </xf>
    <xf numFmtId="176" fontId="3" fillId="3" borderId="3" xfId="0" applyNumberFormat="1" applyFont="1" applyFill="1" applyBorder="1" applyAlignment="1">
      <alignment horizontal="center" vertical="center"/>
    </xf>
    <xf numFmtId="176" fontId="2" fillId="3" borderId="3" xfId="0" applyNumberFormat="1" applyFont="1" applyFill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176" fontId="6" fillId="0" borderId="0" xfId="0" applyNumberFormat="1" applyFont="1" applyBorder="1">
      <alignment vertical="center"/>
    </xf>
    <xf numFmtId="176" fontId="7" fillId="0" borderId="0" xfId="0" applyNumberFormat="1" applyFont="1" applyAlignment="1">
      <alignment horizontal="center" vertical="center"/>
    </xf>
    <xf numFmtId="176" fontId="3" fillId="2" borderId="2" xfId="0" applyNumberFormat="1" applyFont="1" applyFill="1" applyBorder="1">
      <alignment vertical="center"/>
    </xf>
    <xf numFmtId="176" fontId="2" fillId="0" borderId="12" xfId="0" applyNumberFormat="1" applyFont="1" applyBorder="1" applyAlignment="1">
      <alignment horizontal="center" vertical="center"/>
    </xf>
    <xf numFmtId="176" fontId="2" fillId="0" borderId="12" xfId="0" applyNumberFormat="1" applyFont="1" applyBorder="1">
      <alignment vertical="center"/>
    </xf>
    <xf numFmtId="176" fontId="9" fillId="0" borderId="0" xfId="0" applyNumberFormat="1" applyFont="1" applyBorder="1">
      <alignment vertical="center"/>
    </xf>
    <xf numFmtId="176" fontId="8" fillId="0" borderId="0" xfId="0" applyNumberFormat="1" applyFont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176" fontId="3" fillId="0" borderId="0" xfId="0" applyNumberFormat="1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6" fontId="2" fillId="0" borderId="14" xfId="0" applyNumberFormat="1" applyFont="1" applyBorder="1">
      <alignment vertical="center"/>
    </xf>
    <xf numFmtId="176" fontId="2" fillId="0" borderId="1" xfId="0" applyNumberFormat="1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6" fontId="2" fillId="0" borderId="0" xfId="0" applyNumberFormat="1" applyFont="1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176" fontId="2" fillId="0" borderId="1" xfId="0" applyNumberFormat="1" applyFont="1" applyBorder="1" applyProtection="1">
      <alignment vertical="center"/>
      <protection locked="0"/>
    </xf>
    <xf numFmtId="176" fontId="2" fillId="0" borderId="3" xfId="0" applyNumberFormat="1" applyFont="1" applyBorder="1" applyProtection="1">
      <alignment vertical="center"/>
      <protection locked="0"/>
    </xf>
    <xf numFmtId="176" fontId="2" fillId="0" borderId="0" xfId="0" applyNumberFormat="1" applyFont="1" applyAlignment="1" applyProtection="1">
      <alignment horizontal="center" vertical="center"/>
      <protection locked="0"/>
    </xf>
    <xf numFmtId="176" fontId="2" fillId="0" borderId="4" xfId="0" applyNumberFormat="1" applyFont="1" applyBorder="1" applyProtection="1">
      <alignment vertical="center"/>
      <protection locked="0"/>
    </xf>
    <xf numFmtId="176" fontId="2" fillId="3" borderId="1" xfId="0" applyNumberFormat="1" applyFont="1" applyFill="1" applyBorder="1" applyProtection="1">
      <alignment vertical="center"/>
      <protection locked="0"/>
    </xf>
    <xf numFmtId="176" fontId="6" fillId="0" borderId="0" xfId="0" applyNumberFormat="1" applyFont="1" applyBorder="1" applyAlignment="1" applyProtection="1">
      <alignment horizontal="center" vertical="center"/>
      <protection locked="0"/>
    </xf>
    <xf numFmtId="176" fontId="6" fillId="0" borderId="0" xfId="0" applyNumberFormat="1" applyFont="1" applyBorder="1" applyProtection="1">
      <alignment vertical="center"/>
      <protection locked="0"/>
    </xf>
    <xf numFmtId="176" fontId="3" fillId="0" borderId="0" xfId="0" applyNumberFormat="1" applyFont="1" applyBorder="1" applyProtection="1">
      <alignment vertical="center"/>
      <protection locked="0"/>
    </xf>
    <xf numFmtId="176" fontId="9" fillId="0" borderId="0" xfId="0" applyNumberFormat="1" applyFont="1" applyBorder="1" applyProtection="1">
      <alignment vertical="center"/>
      <protection locked="0"/>
    </xf>
    <xf numFmtId="176" fontId="2" fillId="0" borderId="0" xfId="0" applyNumberFormat="1" applyFont="1" applyBorder="1" applyProtection="1">
      <alignment vertical="center"/>
      <protection locked="0"/>
    </xf>
    <xf numFmtId="176" fontId="2" fillId="3" borderId="7" xfId="0" applyNumberFormat="1" applyFont="1" applyFill="1" applyBorder="1" applyProtection="1">
      <alignment vertical="center"/>
      <protection locked="0"/>
    </xf>
    <xf numFmtId="176" fontId="2" fillId="0" borderId="0" xfId="0" applyNumberFormat="1" applyFont="1" applyBorder="1" applyAlignment="1" applyProtection="1">
      <alignment horizontal="center" vertical="center"/>
      <protection locked="0"/>
    </xf>
    <xf numFmtId="176" fontId="5" fillId="0" borderId="0" xfId="0" applyNumberFormat="1" applyFont="1" applyBorder="1" applyProtection="1">
      <alignment vertical="center"/>
      <protection locked="0"/>
    </xf>
    <xf numFmtId="176" fontId="2" fillId="0" borderId="15" xfId="0" applyNumberFormat="1" applyFont="1" applyBorder="1" applyAlignment="1" applyProtection="1">
      <alignment horizontal="center" vertical="center"/>
      <protection locked="0"/>
    </xf>
    <xf numFmtId="176" fontId="2" fillId="0" borderId="15" xfId="0" applyNumberFormat="1" applyFont="1" applyBorder="1" applyProtection="1">
      <alignment vertical="center"/>
      <protection locked="0"/>
    </xf>
    <xf numFmtId="0" fontId="2" fillId="0" borderId="0" xfId="0" applyFont="1" applyBorder="1" applyProtection="1">
      <alignment vertical="center"/>
      <protection locked="0"/>
    </xf>
    <xf numFmtId="176" fontId="2" fillId="0" borderId="1" xfId="0" applyNumberFormat="1" applyFont="1" applyBorder="1" applyAlignment="1" applyProtection="1">
      <alignment horizontal="right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 applyProtection="1">
      <alignment vertical="center"/>
      <protection locked="0"/>
    </xf>
    <xf numFmtId="176" fontId="8" fillId="0" borderId="0" xfId="0" applyNumberFormat="1" applyFont="1" applyAlignment="1" applyProtection="1">
      <alignment vertical="center"/>
    </xf>
    <xf numFmtId="176" fontId="7" fillId="0" borderId="0" xfId="0" applyNumberFormat="1" applyFont="1" applyAlignment="1" applyProtection="1">
      <alignment horizontal="center" vertical="center"/>
    </xf>
    <xf numFmtId="176" fontId="3" fillId="3" borderId="1" xfId="0" applyNumberFormat="1" applyFont="1" applyFill="1" applyBorder="1" applyAlignment="1" applyProtection="1">
      <alignment horizontal="center" vertical="center"/>
    </xf>
    <xf numFmtId="176" fontId="2" fillId="0" borderId="1" xfId="0" applyNumberFormat="1" applyFont="1" applyBorder="1" applyAlignment="1" applyProtection="1">
      <alignment horizontal="center" vertical="center"/>
    </xf>
    <xf numFmtId="176" fontId="2" fillId="0" borderId="3" xfId="0" applyNumberFormat="1" applyFont="1" applyBorder="1" applyAlignment="1" applyProtection="1">
      <alignment horizontal="center" vertical="center"/>
    </xf>
    <xf numFmtId="176" fontId="3" fillId="0" borderId="5" xfId="0" applyNumberFormat="1" applyFont="1" applyBorder="1" applyAlignment="1" applyProtection="1">
      <alignment horizontal="center" vertical="center"/>
    </xf>
    <xf numFmtId="176" fontId="3" fillId="0" borderId="2" xfId="0" applyNumberFormat="1" applyFont="1" applyBorder="1" applyProtection="1">
      <alignment vertical="center"/>
    </xf>
    <xf numFmtId="176" fontId="3" fillId="0" borderId="6" xfId="0" applyNumberFormat="1" applyFont="1" applyBorder="1" applyProtection="1">
      <alignment vertical="center"/>
    </xf>
    <xf numFmtId="176" fontId="3" fillId="3" borderId="3" xfId="0" applyNumberFormat="1" applyFont="1" applyFill="1" applyBorder="1" applyAlignment="1" applyProtection="1">
      <alignment horizontal="center" vertical="center"/>
    </xf>
    <xf numFmtId="176" fontId="2" fillId="0" borderId="5" xfId="0" applyNumberFormat="1" applyFont="1" applyBorder="1" applyAlignment="1" applyProtection="1">
      <alignment horizontal="center" vertical="center"/>
    </xf>
    <xf numFmtId="176" fontId="2" fillId="0" borderId="2" xfId="0" applyNumberFormat="1" applyFont="1" applyBorder="1" applyProtection="1">
      <alignment vertical="center"/>
    </xf>
    <xf numFmtId="176" fontId="2" fillId="3" borderId="3" xfId="0" applyNumberFormat="1" applyFont="1" applyFill="1" applyBorder="1" applyAlignment="1" applyProtection="1">
      <alignment horizontal="center" vertical="center"/>
    </xf>
    <xf numFmtId="176" fontId="2" fillId="3" borderId="6" xfId="0" applyNumberFormat="1" applyFont="1" applyFill="1" applyBorder="1" applyProtection="1">
      <alignment vertical="center"/>
    </xf>
    <xf numFmtId="176" fontId="2" fillId="0" borderId="4" xfId="0" applyNumberFormat="1" applyFont="1" applyBorder="1" applyAlignment="1" applyProtection="1">
      <alignment horizontal="center" vertical="center"/>
    </xf>
    <xf numFmtId="176" fontId="2" fillId="3" borderId="4" xfId="0" applyNumberFormat="1" applyFont="1" applyFill="1" applyBorder="1" applyProtection="1">
      <alignment vertical="center"/>
    </xf>
    <xf numFmtId="176" fontId="2" fillId="3" borderId="1" xfId="0" applyNumberFormat="1" applyFont="1" applyFill="1" applyBorder="1" applyProtection="1">
      <alignment vertical="center"/>
    </xf>
    <xf numFmtId="176" fontId="3" fillId="3" borderId="6" xfId="0" applyNumberFormat="1" applyFont="1" applyFill="1" applyBorder="1" applyProtection="1">
      <alignment vertical="center"/>
    </xf>
    <xf numFmtId="176" fontId="2" fillId="0" borderId="4" xfId="0" applyNumberFormat="1" applyFont="1" applyBorder="1" applyProtection="1">
      <alignment vertical="center"/>
    </xf>
    <xf numFmtId="176" fontId="2" fillId="0" borderId="0" xfId="0" applyNumberFormat="1" applyFont="1" applyAlignment="1" applyProtection="1">
      <alignment horizontal="center" vertical="center"/>
    </xf>
    <xf numFmtId="176" fontId="2" fillId="0" borderId="0" xfId="0" applyNumberFormat="1" applyFont="1" applyProtection="1">
      <alignment vertical="center"/>
    </xf>
    <xf numFmtId="176" fontId="2" fillId="0" borderId="6" xfId="0" applyNumberFormat="1" applyFont="1" applyBorder="1" applyProtection="1">
      <alignment vertical="center"/>
    </xf>
    <xf numFmtId="176" fontId="6" fillId="0" borderId="0" xfId="0" applyNumberFormat="1" applyFont="1" applyBorder="1" applyAlignment="1" applyProtection="1">
      <alignment horizontal="center" vertical="center"/>
    </xf>
    <xf numFmtId="176" fontId="6" fillId="0" borderId="0" xfId="0" applyNumberFormat="1" applyFont="1" applyBorder="1" applyProtection="1">
      <alignment vertical="center"/>
    </xf>
    <xf numFmtId="176" fontId="2" fillId="0" borderId="0" xfId="0" applyNumberFormat="1" applyFont="1" applyBorder="1" applyProtection="1">
      <alignment vertical="center"/>
    </xf>
    <xf numFmtId="176" fontId="2" fillId="3" borderId="1" xfId="0" applyNumberFormat="1" applyFont="1" applyFill="1" applyBorder="1" applyAlignment="1" applyProtection="1">
      <alignment horizontal="center" vertical="center"/>
    </xf>
    <xf numFmtId="176" fontId="2" fillId="0" borderId="1" xfId="0" applyNumberFormat="1" applyFont="1" applyBorder="1" applyProtection="1">
      <alignment vertical="center"/>
    </xf>
    <xf numFmtId="176" fontId="3" fillId="0" borderId="8" xfId="0" applyNumberFormat="1" applyFont="1" applyBorder="1" applyAlignment="1" applyProtection="1">
      <alignment horizontal="center" vertical="center"/>
    </xf>
    <xf numFmtId="176" fontId="3" fillId="0" borderId="10" xfId="0" applyNumberFormat="1" applyFont="1" applyBorder="1" applyProtection="1">
      <alignment vertical="center"/>
    </xf>
    <xf numFmtId="176" fontId="3" fillId="0" borderId="9" xfId="0" applyNumberFormat="1" applyFont="1" applyBorder="1" applyAlignment="1" applyProtection="1">
      <alignment horizontal="center" vertical="center"/>
    </xf>
    <xf numFmtId="176" fontId="3" fillId="0" borderId="11" xfId="0" applyNumberFormat="1" applyFont="1" applyBorder="1" applyProtection="1">
      <alignment vertical="center"/>
    </xf>
    <xf numFmtId="176" fontId="4" fillId="0" borderId="4" xfId="0" applyNumberFormat="1" applyFont="1" applyBorder="1" applyAlignment="1" applyProtection="1">
      <alignment horizontal="center" vertical="center"/>
    </xf>
    <xf numFmtId="176" fontId="5" fillId="0" borderId="4" xfId="0" applyNumberFormat="1" applyFont="1" applyBorder="1" applyProtection="1">
      <alignment vertical="center"/>
    </xf>
    <xf numFmtId="176" fontId="3" fillId="0" borderId="2" xfId="0" applyNumberFormat="1" applyFont="1" applyFill="1" applyBorder="1" applyProtection="1">
      <alignment vertical="center"/>
    </xf>
    <xf numFmtId="176" fontId="2" fillId="3" borderId="3" xfId="0" applyNumberFormat="1" applyFont="1" applyFill="1" applyBorder="1" applyProtection="1">
      <alignment vertical="center"/>
    </xf>
    <xf numFmtId="176" fontId="4" fillId="0" borderId="0" xfId="0" applyNumberFormat="1" applyFont="1" applyProtection="1">
      <alignment vertical="center"/>
      <protection locked="0"/>
    </xf>
    <xf numFmtId="176" fontId="4" fillId="0" borderId="0" xfId="0" applyNumberFormat="1" applyFont="1" applyBorder="1" applyProtection="1">
      <alignment vertical="center"/>
      <protection locked="0"/>
    </xf>
    <xf numFmtId="176" fontId="4" fillId="0" borderId="14" xfId="0" applyNumberFormat="1" applyFont="1" applyBorder="1" applyProtection="1">
      <alignment vertical="center"/>
      <protection locked="0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176" fontId="3" fillId="0" borderId="13" xfId="0" applyNumberFormat="1" applyFont="1" applyBorder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7" fontId="10" fillId="0" borderId="0" xfId="0" applyNumberFormat="1" applyFont="1" applyAlignment="1">
      <alignment horizontal="left" vertical="center"/>
    </xf>
    <xf numFmtId="176" fontId="8" fillId="0" borderId="0" xfId="0" applyNumberFormat="1" applyFont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176" fontId="8" fillId="0" borderId="0" xfId="0" applyNumberFormat="1" applyFont="1" applyAlignment="1" applyProtection="1">
      <alignment horizontal="center" vertical="center" wrapText="1"/>
    </xf>
    <xf numFmtId="176" fontId="8" fillId="0" borderId="0" xfId="0" applyNumberFormat="1" applyFont="1" applyAlignment="1" applyProtection="1">
      <alignment horizontal="center" vertical="center"/>
    </xf>
    <xf numFmtId="177" fontId="10" fillId="0" borderId="0" xfId="0" applyNumberFormat="1" applyFont="1" applyAlignment="1" applyProtection="1">
      <alignment horizontal="left" vertical="center"/>
      <protection locked="0"/>
    </xf>
    <xf numFmtId="176" fontId="3" fillId="0" borderId="13" xfId="0" applyNumberFormat="1" applyFont="1" applyBorder="1" applyAlignment="1" applyProtection="1">
      <alignment horizontal="right" vertical="center"/>
      <protection locked="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533400</xdr:colOff>
          <xdr:row>0</xdr:row>
          <xdr:rowOff>704850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8638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57775" y="0"/>
              <a:ext cx="1466850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638175</xdr:colOff>
          <xdr:row>0</xdr:row>
          <xdr:rowOff>704850</xdr:rowOff>
        </xdr:to>
        <xdr:pic>
          <xdr:nvPicPr>
            <xdr:cNvPr id="6" name="그림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8638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705600" y="0"/>
              <a:ext cx="2047875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533400</xdr:colOff>
          <xdr:row>0</xdr:row>
          <xdr:rowOff>704850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873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57775" y="0"/>
              <a:ext cx="1466850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638175</xdr:colOff>
          <xdr:row>0</xdr:row>
          <xdr:rowOff>704850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8737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705600" y="0"/>
              <a:ext cx="2047875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533400</xdr:colOff>
          <xdr:row>0</xdr:row>
          <xdr:rowOff>704850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883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57775" y="0"/>
              <a:ext cx="1466850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638175</xdr:colOff>
          <xdr:row>0</xdr:row>
          <xdr:rowOff>704850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8836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705600" y="0"/>
              <a:ext cx="2047875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533400</xdr:colOff>
          <xdr:row>0</xdr:row>
          <xdr:rowOff>704850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8937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57775" y="0"/>
              <a:ext cx="1466850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638175</xdr:colOff>
          <xdr:row>0</xdr:row>
          <xdr:rowOff>704850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8937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705600" y="0"/>
              <a:ext cx="2047875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533400</xdr:colOff>
          <xdr:row>0</xdr:row>
          <xdr:rowOff>704850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903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57775" y="0"/>
              <a:ext cx="1466850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638175</xdr:colOff>
          <xdr:row>0</xdr:row>
          <xdr:rowOff>704850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9035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705600" y="0"/>
              <a:ext cx="2047875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533400</xdr:colOff>
          <xdr:row>0</xdr:row>
          <xdr:rowOff>704850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913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191125" y="0"/>
              <a:ext cx="1466850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638175</xdr:colOff>
          <xdr:row>0</xdr:row>
          <xdr:rowOff>704850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9135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838950" y="0"/>
              <a:ext cx="2047875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533400</xdr:colOff>
          <xdr:row>0</xdr:row>
          <xdr:rowOff>704850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923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191125" y="0"/>
              <a:ext cx="1466850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638175</xdr:colOff>
          <xdr:row>0</xdr:row>
          <xdr:rowOff>704850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9233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838950" y="0"/>
              <a:ext cx="2047875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533400</xdr:colOff>
          <xdr:row>0</xdr:row>
          <xdr:rowOff>704850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933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191125" y="0"/>
              <a:ext cx="1466850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638175</xdr:colOff>
          <xdr:row>0</xdr:row>
          <xdr:rowOff>704850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9335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838950" y="0"/>
              <a:ext cx="2047875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533400</xdr:colOff>
          <xdr:row>0</xdr:row>
          <xdr:rowOff>704850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943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191125" y="0"/>
              <a:ext cx="1466850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638175</xdr:colOff>
          <xdr:row>0</xdr:row>
          <xdr:rowOff>704850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9437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838950" y="0"/>
              <a:ext cx="2047875" cy="7048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504825</xdr:colOff>
          <xdr:row>1</xdr:row>
          <xdr:rowOff>3175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9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953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676900" y="723900"/>
              <a:ext cx="1495425" cy="6985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9536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39000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476250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963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676900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9633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39000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A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476250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604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676900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6041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39000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B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476250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C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777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676900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7772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39000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C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476250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6959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676900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D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6959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39000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476250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767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676900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E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7672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39000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E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476250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F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787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676900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F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7873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39000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F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476250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10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797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24525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10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7974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86625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0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476250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11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807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24525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11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8073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86625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381000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12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8173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24525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1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8173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86625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733425</xdr:rowOff>
        </xdr:from>
        <xdr:to>
          <xdr:col>9</xdr:col>
          <xdr:colOff>717550</xdr:colOff>
          <xdr:row>1</xdr:row>
          <xdr:rowOff>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1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8:$S$59" spid="_x0000_s68548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019800" y="733425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0</xdr:row>
          <xdr:rowOff>733425</xdr:rowOff>
        </xdr:from>
        <xdr:to>
          <xdr:col>12</xdr:col>
          <xdr:colOff>736600</xdr:colOff>
          <xdr:row>1</xdr:row>
          <xdr:rowOff>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13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62:$T$63" spid="_x0000_s68548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715250" y="733425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590550</xdr:colOff>
          <xdr:row>6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3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마감/이월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T53"/>
  <sheetViews>
    <sheetView workbookViewId="0">
      <selection activeCell="T6" sqref="T6"/>
    </sheetView>
  </sheetViews>
  <sheetFormatPr defaultColWidth="9" defaultRowHeight="20.149999999999999" customHeight="1" x14ac:dyDescent="0.45"/>
  <cols>
    <col min="1" max="1" width="8.58203125" style="3" customWidth="1"/>
    <col min="2" max="2" width="9.58203125" style="2" customWidth="1"/>
    <col min="3" max="10" width="8.58203125" style="2" customWidth="1"/>
    <col min="11" max="12" width="9.58203125" style="2" customWidth="1"/>
    <col min="13" max="13" width="8.58203125" style="2" customWidth="1"/>
    <col min="14" max="14" width="9" style="2"/>
    <col min="15" max="16" width="9" style="1"/>
    <col min="17" max="17" width="4" style="1" customWidth="1"/>
    <col min="18" max="20" width="7.58203125" style="1" customWidth="1"/>
    <col min="21" max="16384" width="9" style="1"/>
  </cols>
  <sheetData>
    <row r="1" spans="1:13" ht="57.75" customHeight="1" x14ac:dyDescent="0.45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3" ht="30" customHeight="1" x14ac:dyDescent="0.45">
      <c r="A2" s="126">
        <v>45901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</row>
    <row r="3" spans="1:13" ht="20.149999999999999" customHeight="1" thickBot="1" x14ac:dyDescent="0.5">
      <c r="A3" s="35" t="s">
        <v>1</v>
      </c>
    </row>
    <row r="4" spans="1:13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3" ht="20.149999999999999" customHeight="1" x14ac:dyDescent="0.45">
      <c r="A5" s="4" t="s">
        <v>3</v>
      </c>
      <c r="B5" s="5">
        <v>1.07</v>
      </c>
      <c r="C5" s="5">
        <v>3838.37</v>
      </c>
      <c r="D5" s="5">
        <v>1599.01</v>
      </c>
      <c r="E5" s="5">
        <v>62.62</v>
      </c>
      <c r="F5" s="5">
        <v>577.54999999999995</v>
      </c>
      <c r="G5" s="10">
        <v>3085.69</v>
      </c>
      <c r="H5" s="21">
        <f>SUM(B5:G5)</f>
        <v>9164.31</v>
      </c>
    </row>
    <row r="6" spans="1:13" ht="20.149999999999999" customHeight="1" thickBot="1" x14ac:dyDescent="0.5">
      <c r="A6" s="4" t="s">
        <v>4</v>
      </c>
      <c r="B6" s="5">
        <v>2475.69</v>
      </c>
      <c r="C6" s="5">
        <v>2101.08</v>
      </c>
      <c r="D6" s="5">
        <v>842.29</v>
      </c>
      <c r="E6" s="5">
        <v>37.58</v>
      </c>
      <c r="F6" s="5">
        <v>356.23</v>
      </c>
      <c r="G6" s="10">
        <v>2683.9</v>
      </c>
      <c r="H6" s="22">
        <f>SUM(B6:G6)</f>
        <v>8496.77</v>
      </c>
    </row>
    <row r="7" spans="1:13" ht="20.149999999999999" customHeight="1" thickBot="1" x14ac:dyDescent="0.5"/>
    <row r="8" spans="1:13" ht="20.149999999999999" customHeight="1" x14ac:dyDescent="0.45">
      <c r="A8" s="31" t="s">
        <v>13</v>
      </c>
      <c r="B8" s="13" t="s">
        <v>25</v>
      </c>
      <c r="C8" s="11" t="s">
        <v>18</v>
      </c>
      <c r="D8" s="4" t="s">
        <v>19</v>
      </c>
      <c r="E8" s="4" t="s">
        <v>17</v>
      </c>
      <c r="F8" s="4" t="s">
        <v>17</v>
      </c>
      <c r="G8" s="4" t="s">
        <v>17</v>
      </c>
      <c r="H8" s="4" t="s">
        <v>17</v>
      </c>
      <c r="I8" s="4" t="s">
        <v>17</v>
      </c>
      <c r="J8" s="9" t="s">
        <v>23</v>
      </c>
      <c r="K8" s="20" t="s">
        <v>11</v>
      </c>
      <c r="L8" s="11" t="s">
        <v>26</v>
      </c>
    </row>
    <row r="9" spans="1:13" ht="20.149999999999999" customHeight="1" x14ac:dyDescent="0.45">
      <c r="A9" s="9" t="s">
        <v>14</v>
      </c>
      <c r="B9" s="16">
        <v>104.46</v>
      </c>
      <c r="C9" s="12"/>
      <c r="D9" s="5">
        <v>4.82</v>
      </c>
      <c r="E9" s="5"/>
      <c r="F9" s="5"/>
      <c r="G9" s="5"/>
      <c r="H9" s="5"/>
      <c r="I9" s="5"/>
      <c r="J9" s="10"/>
      <c r="K9" s="21">
        <f>SUM(C9:J9)</f>
        <v>4.82</v>
      </c>
      <c r="L9" s="12">
        <f>B9+K9</f>
        <v>109.28</v>
      </c>
    </row>
    <row r="10" spans="1:13" ht="20.149999999999999" customHeight="1" x14ac:dyDescent="0.45">
      <c r="A10" s="9" t="s">
        <v>15</v>
      </c>
      <c r="B10" s="16">
        <v>1028.48</v>
      </c>
      <c r="C10" s="12">
        <v>80.31</v>
      </c>
      <c r="D10" s="5">
        <v>10.33</v>
      </c>
      <c r="E10" s="5"/>
      <c r="F10" s="5"/>
      <c r="G10" s="5"/>
      <c r="H10" s="5"/>
      <c r="I10" s="5"/>
      <c r="J10" s="10"/>
      <c r="K10" s="21">
        <f>SUM(C10:J10)</f>
        <v>90.64</v>
      </c>
      <c r="L10" s="12">
        <f t="shared" ref="L10:L11" si="0">B10+K10</f>
        <v>1119.1200000000001</v>
      </c>
    </row>
    <row r="11" spans="1:13" ht="20.149999999999999" customHeight="1" x14ac:dyDescent="0.45">
      <c r="A11" s="9" t="s">
        <v>16</v>
      </c>
      <c r="B11" s="16">
        <v>834.33</v>
      </c>
      <c r="C11" s="12">
        <v>76.75</v>
      </c>
      <c r="D11" s="5">
        <v>106.71</v>
      </c>
      <c r="E11" s="5"/>
      <c r="F11" s="5"/>
      <c r="G11" s="5"/>
      <c r="H11" s="5"/>
      <c r="I11" s="5"/>
      <c r="J11" s="10"/>
      <c r="K11" s="21">
        <f>SUM(C11:J11)</f>
        <v>183.45999999999998</v>
      </c>
      <c r="L11" s="12">
        <f t="shared" si="0"/>
        <v>1017.79</v>
      </c>
    </row>
    <row r="12" spans="1:13" ht="20.149999999999999" customHeight="1" thickBot="1" x14ac:dyDescent="0.5">
      <c r="A12" s="32" t="s">
        <v>11</v>
      </c>
      <c r="B12" s="18">
        <f t="shared" ref="B12:L12" si="1">SUM(B9:B11)</f>
        <v>1967.27</v>
      </c>
      <c r="C12" s="19">
        <f t="shared" si="1"/>
        <v>157.06</v>
      </c>
      <c r="D12" s="8">
        <f t="shared" si="1"/>
        <v>121.86</v>
      </c>
      <c r="E12" s="8">
        <f t="shared" si="1"/>
        <v>0</v>
      </c>
      <c r="F12" s="8">
        <f t="shared" si="1"/>
        <v>0</v>
      </c>
      <c r="G12" s="8">
        <f t="shared" si="1"/>
        <v>0</v>
      </c>
      <c r="H12" s="8">
        <f t="shared" si="1"/>
        <v>0</v>
      </c>
      <c r="I12" s="8">
        <f t="shared" si="1"/>
        <v>0</v>
      </c>
      <c r="J12" s="8">
        <f t="shared" si="1"/>
        <v>0</v>
      </c>
      <c r="K12" s="23">
        <f t="shared" si="1"/>
        <v>278.91999999999996</v>
      </c>
      <c r="L12" s="19">
        <f t="shared" si="1"/>
        <v>2246.19</v>
      </c>
    </row>
    <row r="13" spans="1:13" ht="20.149999999999999" customHeight="1" thickBot="1" x14ac:dyDescent="0.5"/>
    <row r="14" spans="1:13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3" ht="20.149999999999999" customHeight="1" thickBot="1" x14ac:dyDescent="0.5">
      <c r="A15" s="9" t="s">
        <v>28</v>
      </c>
      <c r="B15" s="14">
        <v>44.17</v>
      </c>
      <c r="C15" s="12">
        <v>0</v>
      </c>
      <c r="D15" s="10">
        <v>0</v>
      </c>
      <c r="E15" s="22">
        <f>B15+C15-D15</f>
        <v>44.17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15928.89</v>
      </c>
      <c r="C18" s="124" t="s">
        <v>45</v>
      </c>
      <c r="D18" s="124"/>
      <c r="E18" s="44">
        <v>0</v>
      </c>
      <c r="F18" s="33" t="s">
        <v>33</v>
      </c>
      <c r="G18" s="34">
        <v>1.92</v>
      </c>
      <c r="H18" s="39" t="s">
        <v>38</v>
      </c>
      <c r="I18" s="39">
        <f>E18+G18</f>
        <v>1.92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469.36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22</v>
      </c>
      <c r="F20" s="4" t="s">
        <v>20</v>
      </c>
      <c r="G20" s="4" t="s">
        <v>21</v>
      </c>
      <c r="H20" s="4" t="s">
        <v>17</v>
      </c>
      <c r="I20" s="4" t="s">
        <v>17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49999999999999" customHeight="1" thickBot="1" x14ac:dyDescent="0.5">
      <c r="A21" s="4" t="s">
        <v>28</v>
      </c>
      <c r="B21" s="5">
        <f>C19+D19+E19+F19-I19-J19-K19-L19</f>
        <v>9060.23</v>
      </c>
      <c r="C21" s="5">
        <v>2279.81</v>
      </c>
      <c r="D21" s="5">
        <v>942.7</v>
      </c>
      <c r="E21" s="5">
        <v>605.39</v>
      </c>
      <c r="F21" s="5">
        <v>1092.3599999999999</v>
      </c>
      <c r="G21" s="5">
        <v>150.66999999999999</v>
      </c>
      <c r="H21" s="5">
        <v>26.01</v>
      </c>
      <c r="I21" s="5">
        <v>87.97</v>
      </c>
      <c r="J21" s="10">
        <v>63</v>
      </c>
      <c r="K21" s="26">
        <f>SUM(B21:J21)+L12+E15</f>
        <v>16598.499999999996</v>
      </c>
      <c r="L21" s="27">
        <f>B18+H5-H6</f>
        <v>16596.429999999997</v>
      </c>
      <c r="M21" s="29">
        <f>K21-L21-G18</f>
        <v>0.14999999999970903</v>
      </c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0.17</v>
      </c>
      <c r="C26" s="5">
        <v>374.28</v>
      </c>
      <c r="D26" s="5">
        <v>289.19</v>
      </c>
      <c r="E26" s="5">
        <v>0</v>
      </c>
      <c r="F26" s="5">
        <v>1.04</v>
      </c>
      <c r="G26" s="10">
        <v>543.79</v>
      </c>
      <c r="H26" s="21">
        <f>SUM(B26:G26)</f>
        <v>1208.4699999999998</v>
      </c>
    </row>
    <row r="27" spans="1:16" ht="20.149999999999999" customHeight="1" thickBot="1" x14ac:dyDescent="0.5">
      <c r="A27" s="4" t="s">
        <v>4</v>
      </c>
      <c r="B27" s="5">
        <v>389.02</v>
      </c>
      <c r="C27" s="5">
        <v>236.94</v>
      </c>
      <c r="D27" s="5">
        <v>165.68</v>
      </c>
      <c r="E27" s="5">
        <v>0</v>
      </c>
      <c r="F27" s="5">
        <v>16.850000000000001</v>
      </c>
      <c r="G27" s="10">
        <v>414.22</v>
      </c>
      <c r="H27" s="22">
        <f>SUM(B27:G27)</f>
        <v>1222.71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20</v>
      </c>
      <c r="E29" s="4" t="s">
        <v>19</v>
      </c>
      <c r="F29" s="4" t="s">
        <v>22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12.07</v>
      </c>
      <c r="C30" s="12">
        <v>0.12</v>
      </c>
      <c r="D30" s="5"/>
      <c r="E30" s="5">
        <v>0.5</v>
      </c>
      <c r="F30" s="5"/>
      <c r="G30" s="5"/>
      <c r="H30" s="5"/>
      <c r="I30" s="5"/>
      <c r="J30" s="10"/>
      <c r="K30" s="21">
        <f>SUM(C30:J30)</f>
        <v>0.62</v>
      </c>
      <c r="L30" s="12">
        <f>B30+K30</f>
        <v>12.69</v>
      </c>
    </row>
    <row r="31" spans="1:16" ht="20.149999999999999" customHeight="1" x14ac:dyDescent="0.45">
      <c r="A31" s="9" t="s">
        <v>15</v>
      </c>
      <c r="B31" s="16">
        <v>144.68</v>
      </c>
      <c r="C31" s="12">
        <v>5.94</v>
      </c>
      <c r="D31" s="5"/>
      <c r="E31" s="5">
        <v>3.09</v>
      </c>
      <c r="F31" s="5"/>
      <c r="G31" s="5"/>
      <c r="H31" s="5"/>
      <c r="I31" s="5"/>
      <c r="J31" s="10"/>
      <c r="K31" s="36">
        <f>SUM(C31:J31)</f>
        <v>9.0300000000000011</v>
      </c>
      <c r="L31" s="12">
        <f t="shared" ref="L31:L33" si="2">B31+K31</f>
        <v>153.71</v>
      </c>
    </row>
    <row r="32" spans="1:16" ht="20.149999999999999" customHeight="1" x14ac:dyDescent="0.45">
      <c r="A32" s="9" t="s">
        <v>16</v>
      </c>
      <c r="B32" s="16">
        <v>73.16</v>
      </c>
      <c r="C32" s="12">
        <v>9.4</v>
      </c>
      <c r="D32" s="5"/>
      <c r="E32" s="5">
        <v>16.61</v>
      </c>
      <c r="F32" s="5"/>
      <c r="G32" s="5"/>
      <c r="H32" s="5"/>
      <c r="I32" s="5"/>
      <c r="J32" s="10"/>
      <c r="K32" s="21">
        <f>SUM(C32:J32)</f>
        <v>26.009999999999998</v>
      </c>
      <c r="L32" s="12">
        <f t="shared" si="2"/>
        <v>99.169999999999987</v>
      </c>
    </row>
    <row r="33" spans="1:19" ht="20.149999999999999" customHeight="1" x14ac:dyDescent="0.45">
      <c r="A33" s="9" t="s">
        <v>17</v>
      </c>
      <c r="B33" s="16"/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2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35.659999999999997</v>
      </c>
      <c r="L34" s="19">
        <f>SUM(L30:L33)</f>
        <v>265.57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12</v>
      </c>
      <c r="B37" s="14">
        <v>16.63</v>
      </c>
      <c r="C37" s="12">
        <v>0</v>
      </c>
      <c r="D37" s="10">
        <v>0</v>
      </c>
      <c r="E37" s="22">
        <f>B37+C37-D37</f>
        <v>16.63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2220.6</v>
      </c>
      <c r="C40" s="124" t="s">
        <v>45</v>
      </c>
      <c r="D40" s="124"/>
      <c r="E40" s="44">
        <v>0</v>
      </c>
      <c r="F40" s="33" t="s">
        <v>33</v>
      </c>
      <c r="G40" s="34">
        <v>1</v>
      </c>
      <c r="H40" s="39" t="s">
        <v>38</v>
      </c>
      <c r="I40" s="39">
        <f>E40+G40</f>
        <v>1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48.19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22</v>
      </c>
      <c r="F42" s="4" t="s">
        <v>20</v>
      </c>
      <c r="G42" s="4" t="s">
        <v>21</v>
      </c>
      <c r="H42" s="4" t="s">
        <v>17</v>
      </c>
      <c r="I42" s="4" t="s">
        <v>17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1345.3200000000002</v>
      </c>
      <c r="C43" s="5">
        <v>362.16</v>
      </c>
      <c r="D43" s="5">
        <v>164.56</v>
      </c>
      <c r="E43" s="5">
        <v>25.67</v>
      </c>
      <c r="F43" s="5">
        <v>26.98</v>
      </c>
      <c r="G43" s="5">
        <v>10.52</v>
      </c>
      <c r="H43" s="5">
        <v>3.12</v>
      </c>
      <c r="I43" s="5">
        <v>0.03</v>
      </c>
      <c r="J43" s="10">
        <v>22</v>
      </c>
      <c r="K43" s="26">
        <f>SUM(B43:J43)+L34+E37</f>
        <v>2242.5600000000004</v>
      </c>
      <c r="L43" s="27">
        <f>B40+H26-H27</f>
        <v>2206.3599999999997</v>
      </c>
      <c r="M43" s="29">
        <f>K43-L43-E40</f>
        <v>36.200000000000728</v>
      </c>
    </row>
    <row r="48" spans="1:19" ht="20.149999999999999" customHeight="1" x14ac:dyDescent="0.45">
      <c r="Q48" s="122" t="s">
        <v>42</v>
      </c>
      <c r="R48" s="41" t="s">
        <v>43</v>
      </c>
      <c r="S48" s="41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41" t="s">
        <v>43</v>
      </c>
      <c r="S52" s="41" t="s">
        <v>40</v>
      </c>
      <c r="T52" s="41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52:Q53"/>
    <mergeCell ref="C18:D18"/>
    <mergeCell ref="C40:D40"/>
    <mergeCell ref="A1:H1"/>
    <mergeCell ref="A2:M2"/>
    <mergeCell ref="A17:M17"/>
    <mergeCell ref="A39:M39"/>
    <mergeCell ref="Q48:Q49"/>
  </mergeCells>
  <phoneticPr fontId="1" type="noConversion"/>
  <pageMargins left="0.21" right="0.23" top="0.28999999999999998" bottom="0.27" header="0.13" footer="0.2"/>
  <pageSetup paperSize="9" scale="7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utton 30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T53"/>
  <sheetViews>
    <sheetView workbookViewId="0">
      <selection activeCell="M38" sqref="M38"/>
    </sheetView>
  </sheetViews>
  <sheetFormatPr defaultColWidth="9" defaultRowHeight="20.149999999999999" customHeight="1" x14ac:dyDescent="0.45"/>
  <cols>
    <col min="1" max="1" width="8.58203125" style="3" customWidth="1"/>
    <col min="2" max="2" width="9.58203125" style="2" customWidth="1"/>
    <col min="3" max="10" width="8.58203125" style="2" customWidth="1"/>
    <col min="11" max="12" width="9.58203125" style="2" customWidth="1"/>
    <col min="13" max="13" width="8.58203125" style="2" customWidth="1"/>
    <col min="14" max="14" width="9" style="2"/>
    <col min="15" max="16" width="9" style="1"/>
    <col min="17" max="17" width="4" style="1" customWidth="1"/>
    <col min="18" max="20" width="7.58203125" style="1" customWidth="1"/>
    <col min="21" max="16384" width="9" style="1"/>
  </cols>
  <sheetData>
    <row r="1" spans="1:13" ht="57.75" customHeight="1" x14ac:dyDescent="0.45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3" ht="30" customHeight="1" x14ac:dyDescent="0.45">
      <c r="A2" s="126">
        <v>45903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</row>
    <row r="3" spans="1:13" ht="20.149999999999999" customHeight="1" thickBot="1" x14ac:dyDescent="0.5">
      <c r="A3" s="35" t="s">
        <v>1</v>
      </c>
    </row>
    <row r="4" spans="1:13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3" ht="20.149999999999999" customHeight="1" x14ac:dyDescent="0.45">
      <c r="A5" s="4" t="s">
        <v>3</v>
      </c>
      <c r="B5" s="5">
        <v>5.56</v>
      </c>
      <c r="C5" s="5">
        <v>4088.51</v>
      </c>
      <c r="D5" s="5">
        <v>1921.77</v>
      </c>
      <c r="E5" s="5">
        <v>35.33</v>
      </c>
      <c r="F5" s="5">
        <v>325.18</v>
      </c>
      <c r="G5" s="10">
        <v>2275.31</v>
      </c>
      <c r="H5" s="21">
        <f>SUM(B5:G5)</f>
        <v>8651.66</v>
      </c>
    </row>
    <row r="6" spans="1:13" ht="20.149999999999999" customHeight="1" thickBot="1" x14ac:dyDescent="0.5">
      <c r="A6" s="4" t="s">
        <v>4</v>
      </c>
      <c r="B6" s="5">
        <v>2295.65</v>
      </c>
      <c r="C6" s="5">
        <v>1640.93</v>
      </c>
      <c r="D6" s="5">
        <v>944.12</v>
      </c>
      <c r="E6" s="5">
        <v>3.57</v>
      </c>
      <c r="F6" s="5">
        <v>402.21</v>
      </c>
      <c r="G6" s="10">
        <v>2450.12</v>
      </c>
      <c r="H6" s="22">
        <f>SUM(B6:G6)</f>
        <v>7736.5999999999995</v>
      </c>
    </row>
    <row r="7" spans="1:13" ht="20.149999999999999" customHeight="1" thickBot="1" x14ac:dyDescent="0.5"/>
    <row r="8" spans="1:13" ht="20.149999999999999" customHeight="1" x14ac:dyDescent="0.45">
      <c r="A8" s="31" t="s">
        <v>13</v>
      </c>
      <c r="B8" s="13" t="s">
        <v>25</v>
      </c>
      <c r="C8" s="11" t="s">
        <v>18</v>
      </c>
      <c r="D8" s="4" t="s">
        <v>19</v>
      </c>
      <c r="E8" s="4" t="s">
        <v>46</v>
      </c>
      <c r="F8" s="4" t="s">
        <v>17</v>
      </c>
      <c r="G8" s="4" t="s">
        <v>17</v>
      </c>
      <c r="H8" s="4" t="s">
        <v>17</v>
      </c>
      <c r="I8" s="4" t="s">
        <v>17</v>
      </c>
      <c r="J8" s="9" t="s">
        <v>23</v>
      </c>
      <c r="K8" s="20" t="s">
        <v>11</v>
      </c>
      <c r="L8" s="11" t="s">
        <v>26</v>
      </c>
    </row>
    <row r="9" spans="1:13" ht="20.149999999999999" customHeight="1" x14ac:dyDescent="0.45">
      <c r="A9" s="9" t="s">
        <v>14</v>
      </c>
      <c r="B9" s="16">
        <v>114.3</v>
      </c>
      <c r="C9" s="12">
        <v>0.84</v>
      </c>
      <c r="D9" s="5">
        <v>4.43</v>
      </c>
      <c r="E9" s="5"/>
      <c r="F9" s="5"/>
      <c r="G9" s="5"/>
      <c r="H9" s="5"/>
      <c r="I9" s="5"/>
      <c r="J9" s="10"/>
      <c r="K9" s="21">
        <f>SUM(C9:J9)</f>
        <v>5.27</v>
      </c>
      <c r="L9" s="12">
        <f>B9+K9</f>
        <v>119.57</v>
      </c>
    </row>
    <row r="10" spans="1:13" ht="20.149999999999999" customHeight="1" x14ac:dyDescent="0.45">
      <c r="A10" s="9" t="s">
        <v>15</v>
      </c>
      <c r="B10" s="16">
        <v>1167.96</v>
      </c>
      <c r="C10" s="12">
        <v>41.55</v>
      </c>
      <c r="D10" s="5">
        <v>8.08</v>
      </c>
      <c r="E10" s="5"/>
      <c r="F10" s="5"/>
      <c r="G10" s="5"/>
      <c r="H10" s="5"/>
      <c r="I10" s="5"/>
      <c r="J10" s="10"/>
      <c r="K10" s="21">
        <f>SUM(C10:J10)</f>
        <v>49.629999999999995</v>
      </c>
      <c r="L10" s="12">
        <f t="shared" ref="L10:L11" si="0">B10+K10</f>
        <v>1217.5900000000001</v>
      </c>
    </row>
    <row r="11" spans="1:13" ht="20.149999999999999" customHeight="1" x14ac:dyDescent="0.45">
      <c r="A11" s="9" t="s">
        <v>16</v>
      </c>
      <c r="B11" s="16">
        <v>1184.82</v>
      </c>
      <c r="C11" s="12">
        <v>74.62</v>
      </c>
      <c r="D11" s="5">
        <v>73.88</v>
      </c>
      <c r="E11" s="5"/>
      <c r="F11" s="5"/>
      <c r="G11" s="5"/>
      <c r="H11" s="5"/>
      <c r="I11" s="5"/>
      <c r="J11" s="10"/>
      <c r="K11" s="21">
        <f>SUM(C11:J11)</f>
        <v>148.5</v>
      </c>
      <c r="L11" s="12">
        <f t="shared" si="0"/>
        <v>1333.32</v>
      </c>
    </row>
    <row r="12" spans="1:13" ht="20.149999999999999" customHeight="1" thickBot="1" x14ac:dyDescent="0.5">
      <c r="A12" s="32" t="s">
        <v>11</v>
      </c>
      <c r="B12" s="18">
        <f t="shared" ref="B12:L12" si="1">SUM(B9:B11)</f>
        <v>2467.08</v>
      </c>
      <c r="C12" s="19">
        <f t="shared" si="1"/>
        <v>117.01</v>
      </c>
      <c r="D12" s="8">
        <f t="shared" si="1"/>
        <v>86.39</v>
      </c>
      <c r="E12" s="8">
        <f t="shared" si="1"/>
        <v>0</v>
      </c>
      <c r="F12" s="8">
        <f t="shared" si="1"/>
        <v>0</v>
      </c>
      <c r="G12" s="8">
        <f t="shared" si="1"/>
        <v>0</v>
      </c>
      <c r="H12" s="8">
        <f t="shared" si="1"/>
        <v>0</v>
      </c>
      <c r="I12" s="8">
        <f t="shared" si="1"/>
        <v>0</v>
      </c>
      <c r="J12" s="8">
        <f t="shared" si="1"/>
        <v>0</v>
      </c>
      <c r="K12" s="23">
        <f t="shared" si="1"/>
        <v>203.39999999999998</v>
      </c>
      <c r="L12" s="19">
        <f t="shared" si="1"/>
        <v>2670.48</v>
      </c>
    </row>
    <row r="13" spans="1:13" ht="20.149999999999999" customHeight="1" thickBot="1" x14ac:dyDescent="0.5"/>
    <row r="14" spans="1:13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3" ht="20.149999999999999" customHeight="1" thickBot="1" x14ac:dyDescent="0.5">
      <c r="A15" s="9" t="s">
        <v>28</v>
      </c>
      <c r="B15" s="14">
        <v>44.17</v>
      </c>
      <c r="C15" s="12"/>
      <c r="D15" s="10"/>
      <c r="E15" s="22">
        <f>B15+C15-D15</f>
        <v>44.17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16506.7</v>
      </c>
      <c r="C18" s="124" t="s">
        <v>45</v>
      </c>
      <c r="D18" s="124"/>
      <c r="E18" s="44">
        <v>1.88</v>
      </c>
      <c r="F18" s="33" t="s">
        <v>33</v>
      </c>
      <c r="G18" s="34">
        <v>2.95</v>
      </c>
      <c r="H18" s="39" t="s">
        <v>38</v>
      </c>
      <c r="I18" s="39">
        <f>E18+G18</f>
        <v>4.83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469.36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22</v>
      </c>
      <c r="F20" s="4" t="s">
        <v>20</v>
      </c>
      <c r="G20" s="4" t="s">
        <v>21</v>
      </c>
      <c r="H20" s="4" t="s">
        <v>47</v>
      </c>
      <c r="I20" s="4" t="s">
        <v>48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49999999999999" customHeight="1" thickBot="1" x14ac:dyDescent="0.5">
      <c r="A21" s="4" t="s">
        <v>28</v>
      </c>
      <c r="B21" s="5">
        <f>C19+D19+E19+F19-I19-J19-K19-L19</f>
        <v>9060.23</v>
      </c>
      <c r="C21" s="5">
        <v>2873.63</v>
      </c>
      <c r="D21" s="5">
        <v>813.54</v>
      </c>
      <c r="E21" s="5">
        <v>544.09</v>
      </c>
      <c r="F21" s="5">
        <v>1157.53</v>
      </c>
      <c r="G21" s="5"/>
      <c r="H21" s="5">
        <v>5.44</v>
      </c>
      <c r="I21" s="5">
        <v>167.8</v>
      </c>
      <c r="J21" s="10">
        <v>63</v>
      </c>
      <c r="K21" s="26">
        <f>SUM(B21:J21)+L12+E15</f>
        <v>17399.91</v>
      </c>
      <c r="L21" s="27">
        <f>B18+H5-H6</f>
        <v>17421.760000000002</v>
      </c>
      <c r="M21" s="29">
        <f>K21-L21-G18</f>
        <v>-24.800000000002182</v>
      </c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0.24</v>
      </c>
      <c r="C26" s="5">
        <v>567.29</v>
      </c>
      <c r="D26" s="5">
        <v>253.95</v>
      </c>
      <c r="E26" s="5"/>
      <c r="F26" s="5">
        <v>11.26</v>
      </c>
      <c r="G26" s="10">
        <v>179.01</v>
      </c>
      <c r="H26" s="21">
        <f>SUM(B26:G26)</f>
        <v>1011.75</v>
      </c>
    </row>
    <row r="27" spans="1:16" ht="20.149999999999999" customHeight="1" thickBot="1" x14ac:dyDescent="0.5">
      <c r="A27" s="4" t="s">
        <v>4</v>
      </c>
      <c r="B27" s="5">
        <v>190.09</v>
      </c>
      <c r="C27" s="5">
        <v>222.27</v>
      </c>
      <c r="D27" s="5">
        <v>130.58000000000001</v>
      </c>
      <c r="E27" s="5"/>
      <c r="F27" s="5">
        <v>2.65</v>
      </c>
      <c r="G27" s="10">
        <v>190.23</v>
      </c>
      <c r="H27" s="22">
        <f>SUM(B27:G27)</f>
        <v>735.82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19</v>
      </c>
      <c r="E29" s="4" t="s">
        <v>20</v>
      </c>
      <c r="F29" s="4" t="s">
        <v>22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12.97</v>
      </c>
      <c r="C30" s="12"/>
      <c r="D30" s="5">
        <v>0.53</v>
      </c>
      <c r="E30" s="5"/>
      <c r="F30" s="5"/>
      <c r="G30" s="5"/>
      <c r="H30" s="5"/>
      <c r="I30" s="5"/>
      <c r="J30" s="10"/>
      <c r="K30" s="21">
        <f>SUM(C30:J30)</f>
        <v>0.53</v>
      </c>
      <c r="L30" s="12">
        <f>B30+K30</f>
        <v>13.5</v>
      </c>
    </row>
    <row r="31" spans="1:16" ht="20.149999999999999" customHeight="1" x14ac:dyDescent="0.45">
      <c r="A31" s="9" t="s">
        <v>15</v>
      </c>
      <c r="B31" s="16">
        <v>158.11000000000001</v>
      </c>
      <c r="C31" s="12">
        <v>3.99</v>
      </c>
      <c r="D31" s="5">
        <v>1.55</v>
      </c>
      <c r="E31" s="5"/>
      <c r="F31" s="5"/>
      <c r="G31" s="5"/>
      <c r="H31" s="5"/>
      <c r="I31" s="5"/>
      <c r="J31" s="10"/>
      <c r="K31" s="36">
        <f>SUM(C31:J31)</f>
        <v>5.54</v>
      </c>
      <c r="L31" s="12">
        <f t="shared" ref="L31:L33" si="2">B31+K31</f>
        <v>163.65</v>
      </c>
    </row>
    <row r="32" spans="1:16" ht="20.149999999999999" customHeight="1" x14ac:dyDescent="0.45">
      <c r="A32" s="9" t="s">
        <v>16</v>
      </c>
      <c r="B32" s="16">
        <v>126.86</v>
      </c>
      <c r="C32" s="12">
        <v>4.66</v>
      </c>
      <c r="D32" s="5">
        <v>8.2100000000000009</v>
      </c>
      <c r="E32" s="5"/>
      <c r="F32" s="5"/>
      <c r="G32" s="5"/>
      <c r="H32" s="5"/>
      <c r="I32" s="5"/>
      <c r="J32" s="10"/>
      <c r="K32" s="21">
        <f>SUM(C32:J32)</f>
        <v>12.870000000000001</v>
      </c>
      <c r="L32" s="12">
        <f t="shared" si="2"/>
        <v>139.72999999999999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2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18.940000000000001</v>
      </c>
      <c r="L34" s="19">
        <f>SUM(L30:L33)</f>
        <v>316.88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2075.04</v>
      </c>
      <c r="C40" s="124" t="s">
        <v>45</v>
      </c>
      <c r="D40" s="124"/>
      <c r="E40" s="44"/>
      <c r="F40" s="33" t="s">
        <v>33</v>
      </c>
      <c r="G40" s="34">
        <v>0.83</v>
      </c>
      <c r="H40" s="39" t="s">
        <v>38</v>
      </c>
      <c r="I40" s="39">
        <f>E40+G40</f>
        <v>0.83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48.19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22</v>
      </c>
      <c r="F42" s="4" t="s">
        <v>20</v>
      </c>
      <c r="G42" s="4" t="s">
        <v>21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1345.3200000000002</v>
      </c>
      <c r="C43" s="5">
        <v>401.16</v>
      </c>
      <c r="D43" s="5">
        <v>72.45</v>
      </c>
      <c r="E43" s="5">
        <v>47.29</v>
      </c>
      <c r="F43" s="5">
        <v>113.41</v>
      </c>
      <c r="G43" s="5"/>
      <c r="H43" s="5">
        <v>7.0000000000000007E-2</v>
      </c>
      <c r="I43" s="5">
        <v>15.14</v>
      </c>
      <c r="J43" s="10">
        <v>22</v>
      </c>
      <c r="K43" s="26">
        <f>SUM(B43:J43)+L34+E37</f>
        <v>2350.3500000000004</v>
      </c>
      <c r="L43" s="27">
        <f>B40+H26-H27</f>
        <v>2350.9699999999998</v>
      </c>
      <c r="M43" s="29">
        <f>K43-L43-E40</f>
        <v>-0.61999999999943611</v>
      </c>
    </row>
    <row r="48" spans="1:19" ht="20.149999999999999" customHeight="1" x14ac:dyDescent="0.45">
      <c r="Q48" s="122" t="s">
        <v>42</v>
      </c>
      <c r="R48" s="43" t="s">
        <v>43</v>
      </c>
      <c r="S48" s="43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43" t="s">
        <v>43</v>
      </c>
      <c r="S52" s="43" t="s">
        <v>40</v>
      </c>
      <c r="T52" s="43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DEBFB-6FE4-4BCB-8A74-A475BC047E3F}">
  <sheetPr codeName="Sheet5">
    <pageSetUpPr fitToPage="1"/>
  </sheetPr>
  <dimension ref="A1:T53"/>
  <sheetViews>
    <sheetView topLeftCell="A19" workbookViewId="0">
      <selection activeCell="I11" sqref="I11"/>
    </sheetView>
  </sheetViews>
  <sheetFormatPr defaultColWidth="9" defaultRowHeight="20.149999999999999" customHeight="1" x14ac:dyDescent="0.45"/>
  <cols>
    <col min="1" max="1" width="8.58203125" style="3" customWidth="1"/>
    <col min="2" max="2" width="9.58203125" style="2" customWidth="1"/>
    <col min="3" max="10" width="8.58203125" style="2" customWidth="1"/>
    <col min="11" max="12" width="9.58203125" style="2" customWidth="1"/>
    <col min="13" max="13" width="8.58203125" style="2" customWidth="1"/>
    <col min="14" max="14" width="9" style="2"/>
    <col min="15" max="16" width="9" style="1"/>
    <col min="17" max="17" width="4" style="1" customWidth="1"/>
    <col min="18" max="20" width="7.58203125" style="1" customWidth="1"/>
    <col min="21" max="16384" width="9" style="1"/>
  </cols>
  <sheetData>
    <row r="1" spans="1:13" ht="57.75" customHeight="1" x14ac:dyDescent="0.45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3" ht="30" customHeight="1" x14ac:dyDescent="0.45">
      <c r="A2" s="126">
        <v>45904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</row>
    <row r="3" spans="1:13" ht="20.149999999999999" customHeight="1" thickBot="1" x14ac:dyDescent="0.5">
      <c r="A3" s="35" t="s">
        <v>1</v>
      </c>
    </row>
    <row r="4" spans="1:13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3" ht="20.149999999999999" customHeight="1" x14ac:dyDescent="0.45">
      <c r="A5" s="4" t="s">
        <v>3</v>
      </c>
      <c r="B5" s="5">
        <v>0.55000000000000004</v>
      </c>
      <c r="C5" s="5">
        <v>4534.4399999999996</v>
      </c>
      <c r="D5" s="5">
        <v>2134.83</v>
      </c>
      <c r="E5" s="5">
        <v>30.06</v>
      </c>
      <c r="F5" s="5">
        <v>496.98</v>
      </c>
      <c r="G5" s="10">
        <v>2688.67</v>
      </c>
      <c r="H5" s="21">
        <f>SUM(B5:G5)</f>
        <v>9885.5300000000007</v>
      </c>
    </row>
    <row r="6" spans="1:13" ht="20.149999999999999" customHeight="1" thickBot="1" x14ac:dyDescent="0.5">
      <c r="A6" s="4" t="s">
        <v>4</v>
      </c>
      <c r="B6" s="5">
        <v>2639.87</v>
      </c>
      <c r="C6" s="5">
        <v>2756.06</v>
      </c>
      <c r="D6" s="5">
        <v>1000.83</v>
      </c>
      <c r="E6" s="5">
        <v>0.8</v>
      </c>
      <c r="F6" s="5">
        <v>338.71</v>
      </c>
      <c r="G6" s="10">
        <v>2605.04</v>
      </c>
      <c r="H6" s="22">
        <f>SUM(B6:G6)</f>
        <v>9341.3100000000013</v>
      </c>
    </row>
    <row r="7" spans="1:13" ht="20.149999999999999" customHeight="1" thickBot="1" x14ac:dyDescent="0.5"/>
    <row r="8" spans="1:13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17</v>
      </c>
      <c r="J8" s="9" t="s">
        <v>23</v>
      </c>
      <c r="K8" s="20" t="s">
        <v>11</v>
      </c>
      <c r="L8" s="11" t="s">
        <v>26</v>
      </c>
    </row>
    <row r="9" spans="1:13" ht="20.149999999999999" customHeight="1" x14ac:dyDescent="0.45">
      <c r="A9" s="9" t="s">
        <v>14</v>
      </c>
      <c r="B9" s="16">
        <v>119.57</v>
      </c>
      <c r="C9" s="12">
        <v>0.54</v>
      </c>
      <c r="D9" s="5">
        <v>9.49</v>
      </c>
      <c r="E9" s="5"/>
      <c r="F9" s="5"/>
      <c r="G9" s="5"/>
      <c r="H9" s="5"/>
      <c r="I9" s="5"/>
      <c r="J9" s="10"/>
      <c r="K9" s="21">
        <f>SUM(C9:J9)</f>
        <v>10.030000000000001</v>
      </c>
      <c r="L9" s="12">
        <f>B9+K9</f>
        <v>129.6</v>
      </c>
    </row>
    <row r="10" spans="1:13" ht="20.149999999999999" customHeight="1" x14ac:dyDescent="0.45">
      <c r="A10" s="9" t="s">
        <v>15</v>
      </c>
      <c r="B10" s="16">
        <v>1217.5900000000001</v>
      </c>
      <c r="C10" s="12">
        <v>58.57</v>
      </c>
      <c r="D10" s="5">
        <v>9.24</v>
      </c>
      <c r="E10" s="5"/>
      <c r="F10" s="5"/>
      <c r="G10" s="5"/>
      <c r="H10" s="5"/>
      <c r="I10" s="5"/>
      <c r="J10" s="10"/>
      <c r="K10" s="21">
        <f>SUM(C10:J10)</f>
        <v>67.81</v>
      </c>
      <c r="L10" s="12">
        <f t="shared" ref="L10:L11" si="0">B10+K10</f>
        <v>1285.4000000000001</v>
      </c>
    </row>
    <row r="11" spans="1:13" ht="20.149999999999999" customHeight="1" x14ac:dyDescent="0.45">
      <c r="A11" s="9" t="s">
        <v>16</v>
      </c>
      <c r="B11" s="16">
        <v>1333.32</v>
      </c>
      <c r="C11" s="12">
        <v>10.77</v>
      </c>
      <c r="D11" s="5">
        <v>42.64</v>
      </c>
      <c r="E11" s="5">
        <v>11.77</v>
      </c>
      <c r="F11" s="5">
        <v>28.86</v>
      </c>
      <c r="G11" s="5">
        <v>10.44</v>
      </c>
      <c r="H11" s="5">
        <v>43.96</v>
      </c>
      <c r="I11" s="5"/>
      <c r="J11" s="10"/>
      <c r="K11" s="21">
        <f>SUM(C11:J11)</f>
        <v>148.44</v>
      </c>
      <c r="L11" s="12">
        <f t="shared" si="0"/>
        <v>1481.76</v>
      </c>
    </row>
    <row r="12" spans="1:13" ht="20.149999999999999" customHeight="1" thickBot="1" x14ac:dyDescent="0.5">
      <c r="A12" s="32" t="s">
        <v>11</v>
      </c>
      <c r="B12" s="18">
        <f t="shared" ref="B12:L12" si="1">SUM(B9:B11)</f>
        <v>2670.48</v>
      </c>
      <c r="C12" s="19">
        <f t="shared" si="1"/>
        <v>69.88</v>
      </c>
      <c r="D12" s="8">
        <f t="shared" si="1"/>
        <v>61.370000000000005</v>
      </c>
      <c r="E12" s="8">
        <f t="shared" si="1"/>
        <v>11.77</v>
      </c>
      <c r="F12" s="8">
        <f t="shared" si="1"/>
        <v>28.86</v>
      </c>
      <c r="G12" s="8">
        <f t="shared" si="1"/>
        <v>10.44</v>
      </c>
      <c r="H12" s="8">
        <f t="shared" si="1"/>
        <v>43.96</v>
      </c>
      <c r="I12" s="8">
        <f t="shared" si="1"/>
        <v>0</v>
      </c>
      <c r="J12" s="8">
        <f t="shared" si="1"/>
        <v>0</v>
      </c>
      <c r="K12" s="23">
        <f t="shared" si="1"/>
        <v>226.28</v>
      </c>
      <c r="L12" s="19">
        <f t="shared" si="1"/>
        <v>2896.76</v>
      </c>
    </row>
    <row r="13" spans="1:13" ht="20.149999999999999" customHeight="1" thickBot="1" x14ac:dyDescent="0.5"/>
    <row r="14" spans="1:13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3" ht="20.149999999999999" customHeight="1" thickBot="1" x14ac:dyDescent="0.5">
      <c r="A15" s="9" t="s">
        <v>28</v>
      </c>
      <c r="B15" s="14">
        <v>44.17</v>
      </c>
      <c r="C15" s="12"/>
      <c r="D15" s="10"/>
      <c r="E15" s="22">
        <f>B15+C15-D15</f>
        <v>44.17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17421.760000000002</v>
      </c>
      <c r="C18" s="124" t="s">
        <v>45</v>
      </c>
      <c r="D18" s="124"/>
      <c r="E18" s="44">
        <v>4.83</v>
      </c>
      <c r="F18" s="33" t="s">
        <v>33</v>
      </c>
      <c r="G18" s="34">
        <v>3.48</v>
      </c>
      <c r="H18" s="39" t="s">
        <v>38</v>
      </c>
      <c r="I18" s="39">
        <f>E18+G18</f>
        <v>8.31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469.36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47</v>
      </c>
      <c r="I20" s="4" t="s">
        <v>48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49999999999999" customHeight="1" thickBot="1" x14ac:dyDescent="0.5">
      <c r="A21" s="4" t="s">
        <v>28</v>
      </c>
      <c r="B21" s="5">
        <f>C19+D19+E19+F19-I19-J19-K19-L19</f>
        <v>9060.23</v>
      </c>
      <c r="C21" s="5">
        <v>2565.13</v>
      </c>
      <c r="D21" s="5">
        <v>1505.53</v>
      </c>
      <c r="E21" s="5">
        <v>493.45</v>
      </c>
      <c r="F21" s="5">
        <v>1165.8599999999999</v>
      </c>
      <c r="G21" s="5">
        <v>0.47</v>
      </c>
      <c r="H21" s="5">
        <v>2.69</v>
      </c>
      <c r="I21" s="5">
        <v>167.8</v>
      </c>
      <c r="J21" s="10">
        <v>63</v>
      </c>
      <c r="K21" s="26">
        <f>SUM(B21:J21)+L12+E15</f>
        <v>17965.09</v>
      </c>
      <c r="L21" s="27">
        <f>B18+H5-H6</f>
        <v>17965.98</v>
      </c>
      <c r="M21" s="29">
        <f>K21-L21-G18</f>
        <v>-4.3699999999994183</v>
      </c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0.06</v>
      </c>
      <c r="C26" s="5">
        <v>496.95</v>
      </c>
      <c r="D26" s="5">
        <v>283.22000000000003</v>
      </c>
      <c r="E26" s="5"/>
      <c r="F26" s="5"/>
      <c r="G26" s="10">
        <v>414.1</v>
      </c>
      <c r="H26" s="21">
        <f>SUM(B26:G26)</f>
        <v>1194.33</v>
      </c>
    </row>
    <row r="27" spans="1:16" ht="20.149999999999999" customHeight="1" thickBot="1" x14ac:dyDescent="0.5">
      <c r="A27" s="4" t="s">
        <v>4</v>
      </c>
      <c r="B27" s="5">
        <v>411.22</v>
      </c>
      <c r="C27" s="5">
        <v>139.32</v>
      </c>
      <c r="D27" s="5">
        <v>127.67</v>
      </c>
      <c r="E27" s="5"/>
      <c r="F27" s="5">
        <v>124.59</v>
      </c>
      <c r="G27" s="10">
        <v>397.53</v>
      </c>
      <c r="H27" s="22">
        <f>SUM(B27:G27)</f>
        <v>1200.33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13.5</v>
      </c>
      <c r="C30" s="12"/>
      <c r="D30" s="5">
        <v>1.01</v>
      </c>
      <c r="E30" s="5"/>
      <c r="F30" s="5"/>
      <c r="G30" s="5"/>
      <c r="H30" s="5"/>
      <c r="I30" s="5"/>
      <c r="J30" s="10"/>
      <c r="K30" s="21">
        <f>SUM(C30:J30)</f>
        <v>1.01</v>
      </c>
      <c r="L30" s="12">
        <f>B30+K30</f>
        <v>14.51</v>
      </c>
    </row>
    <row r="31" spans="1:16" ht="20.149999999999999" customHeight="1" x14ac:dyDescent="0.45">
      <c r="A31" s="9" t="s">
        <v>15</v>
      </c>
      <c r="B31" s="16">
        <v>163.65</v>
      </c>
      <c r="C31" s="12">
        <v>5.84</v>
      </c>
      <c r="D31" s="5">
        <v>1.31</v>
      </c>
      <c r="E31" s="5"/>
      <c r="F31" s="5"/>
      <c r="G31" s="5"/>
      <c r="H31" s="5"/>
      <c r="I31" s="5"/>
      <c r="J31" s="10"/>
      <c r="K31" s="36">
        <f>SUM(C31:J31)</f>
        <v>7.15</v>
      </c>
      <c r="L31" s="12">
        <f t="shared" ref="L31:L33" si="2">B31+K31</f>
        <v>170.8</v>
      </c>
    </row>
    <row r="32" spans="1:16" ht="20.149999999999999" customHeight="1" x14ac:dyDescent="0.45">
      <c r="A32" s="9" t="s">
        <v>16</v>
      </c>
      <c r="B32" s="16">
        <v>139.72999999999999</v>
      </c>
      <c r="C32" s="12">
        <v>8.32</v>
      </c>
      <c r="D32" s="5">
        <v>3.36</v>
      </c>
      <c r="E32" s="5">
        <v>10.89</v>
      </c>
      <c r="F32" s="5">
        <v>2.2000000000000002</v>
      </c>
      <c r="G32" s="5"/>
      <c r="H32" s="5"/>
      <c r="I32" s="5"/>
      <c r="J32" s="10"/>
      <c r="K32" s="21">
        <f>SUM(C32:J32)</f>
        <v>24.77</v>
      </c>
      <c r="L32" s="12">
        <f t="shared" si="2"/>
        <v>164.5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2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32.93</v>
      </c>
      <c r="L34" s="19">
        <f>SUM(L30:L33)</f>
        <v>349.81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>
        <v>16.63</v>
      </c>
      <c r="B37" s="14">
        <v>16.63</v>
      </c>
      <c r="C37" s="12"/>
      <c r="D37" s="10"/>
      <c r="E37" s="22">
        <f>B37+C37-D37</f>
        <v>16.63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2350.9699999999998</v>
      </c>
      <c r="C40" s="124" t="s">
        <v>45</v>
      </c>
      <c r="D40" s="124"/>
      <c r="E40" s="44"/>
      <c r="F40" s="33" t="s">
        <v>33</v>
      </c>
      <c r="G40" s="34">
        <v>0.39</v>
      </c>
      <c r="H40" s="39" t="s">
        <v>38</v>
      </c>
      <c r="I40" s="39">
        <f>E40+G40</f>
        <v>0.39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48.19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1345.3200000000002</v>
      </c>
      <c r="C43" s="5">
        <v>283.67</v>
      </c>
      <c r="D43" s="5">
        <v>90.32</v>
      </c>
      <c r="E43" s="5">
        <v>92.71</v>
      </c>
      <c r="F43" s="5">
        <v>91.88</v>
      </c>
      <c r="G43" s="5"/>
      <c r="H43" s="5">
        <v>0.15</v>
      </c>
      <c r="I43" s="5">
        <v>15.14</v>
      </c>
      <c r="J43" s="10">
        <v>22</v>
      </c>
      <c r="K43" s="26">
        <f>SUM(B43:J43)+L34+E37</f>
        <v>2307.6300000000006</v>
      </c>
      <c r="L43" s="27">
        <f>B40+H26-H27</f>
        <v>2344.9699999999998</v>
      </c>
      <c r="M43" s="29">
        <f>K43-L43-E40</f>
        <v>-37.339999999999236</v>
      </c>
    </row>
    <row r="48" spans="1:19" ht="20.149999999999999" customHeight="1" x14ac:dyDescent="0.45">
      <c r="Q48" s="122" t="s">
        <v>42</v>
      </c>
      <c r="R48" s="45" t="s">
        <v>43</v>
      </c>
      <c r="S48" s="45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45" t="s">
        <v>43</v>
      </c>
      <c r="S52" s="45" t="s">
        <v>40</v>
      </c>
      <c r="T52" s="45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B1DE-B241-498C-B5E9-24D213C2987E}">
  <sheetPr codeName="Sheet6">
    <pageSetUpPr fitToPage="1"/>
  </sheetPr>
  <dimension ref="A1:T53"/>
  <sheetViews>
    <sheetView topLeftCell="A19" workbookViewId="0">
      <selection activeCell="I44" sqref="I44"/>
    </sheetView>
  </sheetViews>
  <sheetFormatPr defaultColWidth="9" defaultRowHeight="20.149999999999999" customHeight="1" x14ac:dyDescent="0.45"/>
  <cols>
    <col min="1" max="1" width="8.58203125" style="3" customWidth="1"/>
    <col min="2" max="2" width="9.58203125" style="2" customWidth="1"/>
    <col min="3" max="10" width="8.58203125" style="2" customWidth="1"/>
    <col min="11" max="12" width="9.58203125" style="2" customWidth="1"/>
    <col min="13" max="13" width="8.58203125" style="2" customWidth="1"/>
    <col min="14" max="14" width="9" style="2"/>
    <col min="15" max="16" width="9" style="1"/>
    <col min="17" max="17" width="4" style="1" customWidth="1"/>
    <col min="18" max="20" width="7.58203125" style="1" customWidth="1"/>
    <col min="21" max="16384" width="9" style="1"/>
  </cols>
  <sheetData>
    <row r="1" spans="1:13" ht="57.75" customHeight="1" x14ac:dyDescent="0.45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3" ht="30" customHeight="1" x14ac:dyDescent="0.45">
      <c r="A2" s="126">
        <v>45905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</row>
    <row r="3" spans="1:13" ht="20.149999999999999" customHeight="1" thickBot="1" x14ac:dyDescent="0.5">
      <c r="A3" s="35" t="s">
        <v>1</v>
      </c>
    </row>
    <row r="4" spans="1:13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3" ht="20.149999999999999" customHeight="1" x14ac:dyDescent="0.45">
      <c r="A5" s="4" t="s">
        <v>3</v>
      </c>
      <c r="B5" s="5">
        <v>0.18</v>
      </c>
      <c r="C5" s="5">
        <v>3681.75</v>
      </c>
      <c r="D5" s="5">
        <v>1783.21</v>
      </c>
      <c r="E5" s="5">
        <v>20.46</v>
      </c>
      <c r="F5" s="5">
        <v>719.25</v>
      </c>
      <c r="G5" s="10">
        <v>2854.37</v>
      </c>
      <c r="H5" s="21">
        <f>SUM(B5:G5)</f>
        <v>9059.2199999999993</v>
      </c>
    </row>
    <row r="6" spans="1:13" ht="20.149999999999999" customHeight="1" thickBot="1" x14ac:dyDescent="0.5">
      <c r="A6" s="4" t="s">
        <v>4</v>
      </c>
      <c r="B6" s="5">
        <v>2859.46</v>
      </c>
      <c r="C6" s="5">
        <v>1087.77</v>
      </c>
      <c r="D6" s="5">
        <v>1192.92</v>
      </c>
      <c r="E6" s="5">
        <v>1.2</v>
      </c>
      <c r="F6" s="5">
        <v>731.13</v>
      </c>
      <c r="G6" s="10">
        <v>3087.22</v>
      </c>
      <c r="H6" s="22">
        <f>SUM(B6:G6)</f>
        <v>8959.6999999999989</v>
      </c>
    </row>
    <row r="7" spans="1:13" ht="20.149999999999999" customHeight="1" thickBot="1" x14ac:dyDescent="0.5"/>
    <row r="8" spans="1:13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3" ht="20.149999999999999" customHeight="1" x14ac:dyDescent="0.45">
      <c r="A9" s="9" t="s">
        <v>14</v>
      </c>
      <c r="B9" s="16">
        <v>129.6</v>
      </c>
      <c r="C9" s="12">
        <v>0.69</v>
      </c>
      <c r="D9" s="5"/>
      <c r="E9" s="5"/>
      <c r="F9" s="5">
        <v>3.12</v>
      </c>
      <c r="G9" s="5"/>
      <c r="H9" s="5"/>
      <c r="I9" s="5"/>
      <c r="J9" s="10"/>
      <c r="K9" s="21">
        <f>SUM(C9:J9)</f>
        <v>3.81</v>
      </c>
      <c r="L9" s="12">
        <f>B9+K9</f>
        <v>133.41</v>
      </c>
    </row>
    <row r="10" spans="1:13" ht="20.149999999999999" customHeight="1" x14ac:dyDescent="0.45">
      <c r="A10" s="9" t="s">
        <v>15</v>
      </c>
      <c r="B10" s="16">
        <v>1285.4000000000001</v>
      </c>
      <c r="C10" s="12">
        <v>49.86</v>
      </c>
      <c r="D10" s="5"/>
      <c r="E10" s="5"/>
      <c r="F10" s="5">
        <v>18.66</v>
      </c>
      <c r="G10" s="5"/>
      <c r="H10" s="5"/>
      <c r="I10" s="5"/>
      <c r="J10" s="10"/>
      <c r="K10" s="21">
        <f>SUM(C10:J10)</f>
        <v>68.52</v>
      </c>
      <c r="L10" s="12">
        <f t="shared" ref="L10:L11" si="0">B10+K10</f>
        <v>1353.92</v>
      </c>
    </row>
    <row r="11" spans="1:13" ht="20.149999999999999" customHeight="1" x14ac:dyDescent="0.45">
      <c r="A11" s="9" t="s">
        <v>16</v>
      </c>
      <c r="B11" s="16">
        <v>1481.76</v>
      </c>
      <c r="C11" s="12">
        <v>17.05</v>
      </c>
      <c r="D11" s="5">
        <v>47.27</v>
      </c>
      <c r="E11" s="5">
        <v>23.03</v>
      </c>
      <c r="F11" s="5">
        <v>30.29</v>
      </c>
      <c r="G11" s="5">
        <v>5.63</v>
      </c>
      <c r="H11" s="5">
        <v>22.47</v>
      </c>
      <c r="I11" s="5">
        <v>0.12</v>
      </c>
      <c r="J11" s="10">
        <v>9.07</v>
      </c>
      <c r="K11" s="21">
        <f>SUM(C11:J11)</f>
        <v>154.93</v>
      </c>
      <c r="L11" s="12">
        <f t="shared" si="0"/>
        <v>1636.69</v>
      </c>
    </row>
    <row r="12" spans="1:13" ht="20.149999999999999" customHeight="1" thickBot="1" x14ac:dyDescent="0.5">
      <c r="A12" s="32" t="s">
        <v>11</v>
      </c>
      <c r="B12" s="18">
        <f t="shared" ref="B12:L12" si="1">SUM(B9:B11)</f>
        <v>2896.76</v>
      </c>
      <c r="C12" s="19">
        <f t="shared" si="1"/>
        <v>67.599999999999994</v>
      </c>
      <c r="D12" s="8">
        <f t="shared" si="1"/>
        <v>47.27</v>
      </c>
      <c r="E12" s="8">
        <f t="shared" si="1"/>
        <v>23.03</v>
      </c>
      <c r="F12" s="8">
        <f t="shared" si="1"/>
        <v>52.07</v>
      </c>
      <c r="G12" s="8">
        <f t="shared" si="1"/>
        <v>5.63</v>
      </c>
      <c r="H12" s="8">
        <f t="shared" si="1"/>
        <v>22.47</v>
      </c>
      <c r="I12" s="8">
        <f t="shared" si="1"/>
        <v>0.12</v>
      </c>
      <c r="J12" s="8">
        <f t="shared" si="1"/>
        <v>9.07</v>
      </c>
      <c r="K12" s="23">
        <f t="shared" si="1"/>
        <v>227.26</v>
      </c>
      <c r="L12" s="19">
        <f t="shared" si="1"/>
        <v>3124.0200000000004</v>
      </c>
    </row>
    <row r="13" spans="1:13" ht="20.149999999999999" customHeight="1" thickBot="1" x14ac:dyDescent="0.5"/>
    <row r="14" spans="1:13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3" ht="20.149999999999999" customHeight="1" thickBot="1" x14ac:dyDescent="0.5">
      <c r="A15" s="9" t="s">
        <v>28</v>
      </c>
      <c r="B15" s="14">
        <v>44.17</v>
      </c>
      <c r="C15" s="12">
        <v>257.32</v>
      </c>
      <c r="D15" s="10"/>
      <c r="E15" s="22">
        <f>B15+C15-D15</f>
        <v>301.49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17965.98</v>
      </c>
      <c r="C18" s="124" t="s">
        <v>45</v>
      </c>
      <c r="D18" s="124"/>
      <c r="E18" s="44">
        <v>8.31</v>
      </c>
      <c r="F18" s="33" t="s">
        <v>33</v>
      </c>
      <c r="G18" s="34">
        <v>3.68</v>
      </c>
      <c r="H18" s="39" t="s">
        <v>38</v>
      </c>
      <c r="I18" s="39">
        <f>E18+G18</f>
        <v>11.99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469.36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47</v>
      </c>
      <c r="I20" s="4" t="s">
        <v>48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49999999999999" customHeight="1" thickBot="1" x14ac:dyDescent="0.5">
      <c r="A21" s="4" t="s">
        <v>28</v>
      </c>
      <c r="B21" s="5">
        <f>C19+D19+E19+F19-I19-J19-K19-L19</f>
        <v>9060.23</v>
      </c>
      <c r="C21" s="5">
        <v>2132.7600000000002</v>
      </c>
      <c r="D21" s="5">
        <v>1311.86</v>
      </c>
      <c r="E21" s="5">
        <v>607.75</v>
      </c>
      <c r="F21" s="5">
        <v>1298.7</v>
      </c>
      <c r="G21" s="5">
        <v>0.3</v>
      </c>
      <c r="H21" s="5"/>
      <c r="I21" s="5">
        <v>167.8</v>
      </c>
      <c r="J21" s="10">
        <v>63</v>
      </c>
      <c r="K21" s="26">
        <f>SUM(B21:J21)+L12+E15</f>
        <v>18067.91</v>
      </c>
      <c r="L21" s="27">
        <f>B18+H5-H6</f>
        <v>18065.5</v>
      </c>
      <c r="M21" s="29">
        <f>K21-L21-G18</f>
        <v>-1.2700000000001457</v>
      </c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0.04</v>
      </c>
      <c r="C26" s="5">
        <v>395.63</v>
      </c>
      <c r="D26" s="5">
        <v>175.53</v>
      </c>
      <c r="E26" s="5"/>
      <c r="F26" s="5">
        <v>108.96</v>
      </c>
      <c r="G26" s="10">
        <v>223.21</v>
      </c>
      <c r="H26" s="21">
        <f>SUM(B26:G26)</f>
        <v>903.37000000000012</v>
      </c>
    </row>
    <row r="27" spans="1:16" ht="20.149999999999999" customHeight="1" thickBot="1" x14ac:dyDescent="0.5">
      <c r="A27" s="4" t="s">
        <v>4</v>
      </c>
      <c r="B27" s="5">
        <v>228.7</v>
      </c>
      <c r="C27" s="5">
        <v>264.10000000000002</v>
      </c>
      <c r="D27" s="5">
        <v>134.71</v>
      </c>
      <c r="E27" s="5"/>
      <c r="F27" s="5">
        <v>1.2</v>
      </c>
      <c r="G27" s="10">
        <v>279.54000000000002</v>
      </c>
      <c r="H27" s="22">
        <f>SUM(B27:G27)</f>
        <v>908.25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14.51</v>
      </c>
      <c r="C30" s="12">
        <v>0.06</v>
      </c>
      <c r="D30" s="5"/>
      <c r="E30" s="5"/>
      <c r="F30" s="5"/>
      <c r="G30" s="5"/>
      <c r="H30" s="5"/>
      <c r="I30" s="5"/>
      <c r="J30" s="10"/>
      <c r="K30" s="21">
        <f>SUM(C30:J30)</f>
        <v>0.06</v>
      </c>
      <c r="L30" s="12">
        <f>B30+K30</f>
        <v>14.57</v>
      </c>
    </row>
    <row r="31" spans="1:16" ht="20.149999999999999" customHeight="1" x14ac:dyDescent="0.45">
      <c r="A31" s="9" t="s">
        <v>15</v>
      </c>
      <c r="B31" s="16">
        <v>170.8</v>
      </c>
      <c r="C31" s="12">
        <v>6.4</v>
      </c>
      <c r="D31" s="5"/>
      <c r="E31" s="5">
        <v>2.21</v>
      </c>
      <c r="F31" s="5"/>
      <c r="G31" s="5"/>
      <c r="H31" s="5"/>
      <c r="I31" s="5"/>
      <c r="J31" s="10"/>
      <c r="K31" s="36">
        <f>SUM(C31:J31)</f>
        <v>8.61</v>
      </c>
      <c r="L31" s="12">
        <f t="shared" ref="L31:L33" si="2">B31+K31</f>
        <v>179.41000000000003</v>
      </c>
    </row>
    <row r="32" spans="1:16" ht="20.149999999999999" customHeight="1" x14ac:dyDescent="0.45">
      <c r="A32" s="9" t="s">
        <v>16</v>
      </c>
      <c r="B32" s="16">
        <v>164.5</v>
      </c>
      <c r="C32" s="12">
        <v>6.96</v>
      </c>
      <c r="D32" s="5">
        <v>2.75</v>
      </c>
      <c r="E32" s="5">
        <v>1.56</v>
      </c>
      <c r="F32" s="5">
        <v>0.38</v>
      </c>
      <c r="G32" s="5"/>
      <c r="H32" s="5"/>
      <c r="I32" s="5">
        <v>0.15</v>
      </c>
      <c r="J32" s="10">
        <v>0.15</v>
      </c>
      <c r="K32" s="21">
        <f>SUM(C32:J32)</f>
        <v>11.950000000000003</v>
      </c>
      <c r="L32" s="12">
        <f t="shared" si="2"/>
        <v>176.45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2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20.620000000000005</v>
      </c>
      <c r="L34" s="19">
        <f>SUM(L30:L33)</f>
        <v>370.43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>
        <v>16.63</v>
      </c>
      <c r="B37" s="14">
        <v>16.63</v>
      </c>
      <c r="C37" s="12"/>
      <c r="D37" s="10"/>
      <c r="E37" s="22">
        <f>B37+C37-D37</f>
        <v>16.63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2344.9699999999998</v>
      </c>
      <c r="C40" s="124" t="s">
        <v>45</v>
      </c>
      <c r="D40" s="124"/>
      <c r="E40" s="44">
        <v>0.39</v>
      </c>
      <c r="F40" s="33" t="s">
        <v>33</v>
      </c>
      <c r="G40" s="34">
        <v>0.19</v>
      </c>
      <c r="H40" s="39" t="s">
        <v>38</v>
      </c>
      <c r="I40" s="39">
        <f>E40+G40</f>
        <v>0.58000000000000007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48.19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1345.3200000000002</v>
      </c>
      <c r="C43" s="5">
        <v>295.86</v>
      </c>
      <c r="D43" s="5">
        <v>118.73</v>
      </c>
      <c r="E43" s="5">
        <v>47.22</v>
      </c>
      <c r="F43" s="5">
        <v>106.92</v>
      </c>
      <c r="G43" s="5">
        <v>0.14000000000000001</v>
      </c>
      <c r="H43" s="5"/>
      <c r="I43" s="5">
        <v>15.41</v>
      </c>
      <c r="J43" s="10">
        <v>20</v>
      </c>
      <c r="K43" s="26">
        <f>SUM(B43:J43)+L34+E37</f>
        <v>2336.6600000000008</v>
      </c>
      <c r="L43" s="27">
        <f>B40+H26-H27</f>
        <v>2340.09</v>
      </c>
      <c r="M43" s="29">
        <f>K43-L43-E40</f>
        <v>-3.8199999999993817</v>
      </c>
    </row>
    <row r="48" spans="1:19" ht="20.149999999999999" customHeight="1" x14ac:dyDescent="0.45">
      <c r="Q48" s="122" t="s">
        <v>42</v>
      </c>
      <c r="R48" s="46" t="s">
        <v>43</v>
      </c>
      <c r="S48" s="46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46" t="s">
        <v>43</v>
      </c>
      <c r="S52" s="46" t="s">
        <v>40</v>
      </c>
      <c r="T52" s="46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0A1C1-E6ED-4188-930E-A630F7B0486D}">
  <sheetPr codeName="Sheet7">
    <pageSetUpPr fitToPage="1"/>
  </sheetPr>
  <dimension ref="A1:T53"/>
  <sheetViews>
    <sheetView topLeftCell="A16" workbookViewId="0">
      <selection activeCell="O42" sqref="O42"/>
    </sheetView>
  </sheetViews>
  <sheetFormatPr defaultColWidth="9" defaultRowHeight="20.149999999999999" customHeight="1" x14ac:dyDescent="0.45"/>
  <cols>
    <col min="1" max="1" width="8.58203125" style="3" customWidth="1"/>
    <col min="2" max="2" width="9.58203125" style="2" customWidth="1"/>
    <col min="3" max="10" width="8.58203125" style="2" customWidth="1"/>
    <col min="11" max="12" width="9.58203125" style="2" customWidth="1"/>
    <col min="13" max="13" width="8.58203125" style="2" customWidth="1"/>
    <col min="14" max="14" width="9" style="2"/>
    <col min="15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57.75" customHeight="1" x14ac:dyDescent="0.45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45908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2.96</v>
      </c>
      <c r="C5" s="5">
        <v>3050.62</v>
      </c>
      <c r="D5" s="5">
        <v>1572.84</v>
      </c>
      <c r="E5" s="5">
        <v>78.22</v>
      </c>
      <c r="F5" s="5">
        <v>298.82</v>
      </c>
      <c r="G5" s="10">
        <v>2674.67</v>
      </c>
      <c r="H5" s="21">
        <f>SUM(B5:G5)</f>
        <v>7678.13</v>
      </c>
    </row>
    <row r="6" spans="1:14" ht="20.149999999999999" customHeight="1" thickBot="1" x14ac:dyDescent="0.5">
      <c r="A6" s="4" t="s">
        <v>4</v>
      </c>
      <c r="B6" s="5">
        <v>2655.62</v>
      </c>
      <c r="C6" s="5">
        <v>1685.39</v>
      </c>
      <c r="D6" s="5">
        <v>902.05</v>
      </c>
      <c r="E6" s="5">
        <v>12.26</v>
      </c>
      <c r="F6" s="5">
        <v>365.1</v>
      </c>
      <c r="G6" s="10">
        <v>3410.92</v>
      </c>
      <c r="H6" s="22">
        <f>SUM(B6:G6)</f>
        <v>9031.34</v>
      </c>
    </row>
    <row r="7" spans="1:14" ht="20.149999999999999" customHeight="1" thickBot="1" x14ac:dyDescent="0.5"/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133.41</v>
      </c>
      <c r="C9" s="12">
        <v>0.34</v>
      </c>
      <c r="D9" s="5"/>
      <c r="E9" s="5"/>
      <c r="F9" s="5">
        <v>4.28</v>
      </c>
      <c r="G9" s="5"/>
      <c r="H9" s="5"/>
      <c r="I9" s="5"/>
      <c r="J9" s="10"/>
      <c r="K9" s="21">
        <f>SUM(C9:J9)</f>
        <v>4.62</v>
      </c>
      <c r="L9" s="12">
        <f>B9+K9</f>
        <v>138.03</v>
      </c>
    </row>
    <row r="10" spans="1:14" ht="20.149999999999999" customHeight="1" x14ac:dyDescent="0.45">
      <c r="A10" s="9" t="s">
        <v>15</v>
      </c>
      <c r="B10" s="16">
        <v>1353.92</v>
      </c>
      <c r="C10" s="12">
        <v>36.590000000000003</v>
      </c>
      <c r="D10" s="5">
        <v>20.309999999999999</v>
      </c>
      <c r="E10" s="5"/>
      <c r="F10" s="5"/>
      <c r="G10" s="5"/>
      <c r="H10" s="5">
        <v>7.58</v>
      </c>
      <c r="I10" s="5"/>
      <c r="J10" s="10"/>
      <c r="K10" s="21">
        <f>SUM(C10:J10)</f>
        <v>64.48</v>
      </c>
      <c r="L10" s="12">
        <f t="shared" ref="L10:L11" si="0">B10+K10</f>
        <v>1418.4</v>
      </c>
    </row>
    <row r="11" spans="1:14" ht="20.149999999999999" customHeight="1" x14ac:dyDescent="0.45">
      <c r="A11" s="9" t="s">
        <v>16</v>
      </c>
      <c r="B11" s="16">
        <v>1636.69</v>
      </c>
      <c r="C11" s="12">
        <v>16.46</v>
      </c>
      <c r="D11" s="5">
        <v>92.42</v>
      </c>
      <c r="E11" s="5">
        <v>23.08</v>
      </c>
      <c r="F11" s="5">
        <v>81.14</v>
      </c>
      <c r="G11" s="5">
        <v>34.74</v>
      </c>
      <c r="H11" s="5">
        <v>59.58</v>
      </c>
      <c r="I11" s="5"/>
      <c r="J11" s="10">
        <v>6.22</v>
      </c>
      <c r="K11" s="21">
        <f>SUM(C11:J11)</f>
        <v>313.64</v>
      </c>
      <c r="L11" s="12">
        <f t="shared" si="0"/>
        <v>1950.33</v>
      </c>
    </row>
    <row r="12" spans="1:14" ht="20.149999999999999" customHeight="1" thickBot="1" x14ac:dyDescent="0.5">
      <c r="A12" s="32" t="s">
        <v>11</v>
      </c>
      <c r="B12" s="18">
        <f t="shared" ref="B12:L12" si="1">SUM(B9:B11)</f>
        <v>3124.0200000000004</v>
      </c>
      <c r="C12" s="19">
        <f t="shared" si="1"/>
        <v>53.390000000000008</v>
      </c>
      <c r="D12" s="8">
        <f t="shared" si="1"/>
        <v>112.73</v>
      </c>
      <c r="E12" s="8">
        <f t="shared" si="1"/>
        <v>23.08</v>
      </c>
      <c r="F12" s="8">
        <f t="shared" si="1"/>
        <v>85.42</v>
      </c>
      <c r="G12" s="8">
        <f t="shared" si="1"/>
        <v>34.74</v>
      </c>
      <c r="H12" s="8">
        <f t="shared" si="1"/>
        <v>67.16</v>
      </c>
      <c r="I12" s="8">
        <f t="shared" si="1"/>
        <v>0</v>
      </c>
      <c r="J12" s="8">
        <f t="shared" si="1"/>
        <v>6.22</v>
      </c>
      <c r="K12" s="23">
        <f t="shared" si="1"/>
        <v>382.74</v>
      </c>
      <c r="L12" s="19">
        <f t="shared" si="1"/>
        <v>3506.76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44.17</v>
      </c>
      <c r="C15" s="12">
        <v>257.32</v>
      </c>
      <c r="D15" s="10"/>
      <c r="E15" s="22">
        <f>B15+C15-D15</f>
        <v>301.49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18065.5</v>
      </c>
      <c r="C18" s="124" t="s">
        <v>45</v>
      </c>
      <c r="D18" s="124"/>
      <c r="E18" s="44">
        <v>11.99</v>
      </c>
      <c r="F18" s="33" t="s">
        <v>33</v>
      </c>
      <c r="G18" s="34">
        <v>2.56</v>
      </c>
      <c r="H18" s="39" t="s">
        <v>38</v>
      </c>
      <c r="I18" s="39">
        <f>E18+G18</f>
        <v>14.55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469.36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47</v>
      </c>
      <c r="I20" s="4" t="s">
        <v>48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49999999999999" customHeight="1" thickBot="1" x14ac:dyDescent="0.5">
      <c r="A21" s="4" t="s">
        <v>28</v>
      </c>
      <c r="B21" s="5">
        <f>C19+D19+E19+F19-I19-J19-K19-L19</f>
        <v>9060.23</v>
      </c>
      <c r="C21" s="5">
        <v>1024.8399999999999</v>
      </c>
      <c r="D21" s="5">
        <v>1135.94</v>
      </c>
      <c r="E21" s="5">
        <v>530.53</v>
      </c>
      <c r="F21" s="5">
        <v>927.17</v>
      </c>
      <c r="G21" s="5"/>
      <c r="H21" s="5"/>
      <c r="I21" s="5">
        <v>167.8</v>
      </c>
      <c r="J21" s="10">
        <v>63</v>
      </c>
      <c r="K21" s="26">
        <f>SUM(B21:J21)+L12+E15</f>
        <v>16717.760000000002</v>
      </c>
      <c r="L21" s="27">
        <f>B18+H5-H6</f>
        <v>16712.29</v>
      </c>
      <c r="M21" s="29">
        <f>K21-L21-G18</f>
        <v>2.9100000000011641</v>
      </c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/>
      <c r="C26" s="5">
        <v>289.02999999999997</v>
      </c>
      <c r="D26" s="5">
        <v>222.42</v>
      </c>
      <c r="E26" s="5"/>
      <c r="F26" s="5"/>
      <c r="G26" s="10">
        <v>284.01</v>
      </c>
      <c r="H26" s="21">
        <f>SUM(B26:G26)</f>
        <v>795.45999999999992</v>
      </c>
    </row>
    <row r="27" spans="1:16" ht="20.149999999999999" customHeight="1" thickBot="1" x14ac:dyDescent="0.5">
      <c r="A27" s="4" t="s">
        <v>4</v>
      </c>
      <c r="B27" s="5">
        <v>284.86</v>
      </c>
      <c r="C27" s="5">
        <v>43.15</v>
      </c>
      <c r="D27" s="5">
        <v>101.04</v>
      </c>
      <c r="E27" s="5"/>
      <c r="F27" s="5">
        <v>9.76</v>
      </c>
      <c r="G27" s="10">
        <v>427.12</v>
      </c>
      <c r="H27" s="22">
        <f>SUM(B27:G27)</f>
        <v>865.93000000000006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14.57</v>
      </c>
      <c r="C30" s="12"/>
      <c r="D30" s="5"/>
      <c r="E30" s="5">
        <v>0.3</v>
      </c>
      <c r="F30" s="5"/>
      <c r="G30" s="5"/>
      <c r="H30" s="5"/>
      <c r="I30" s="5"/>
      <c r="J30" s="10"/>
      <c r="K30" s="21">
        <f>SUM(C30:J30)</f>
        <v>0.3</v>
      </c>
      <c r="L30" s="12">
        <f>B30+K30</f>
        <v>14.870000000000001</v>
      </c>
    </row>
    <row r="31" spans="1:16" ht="20.149999999999999" customHeight="1" x14ac:dyDescent="0.45">
      <c r="A31" s="9" t="s">
        <v>15</v>
      </c>
      <c r="B31" s="16">
        <v>179.41000000000003</v>
      </c>
      <c r="C31" s="12">
        <v>4.3499999999999996</v>
      </c>
      <c r="D31" s="5"/>
      <c r="E31" s="5">
        <v>2.42</v>
      </c>
      <c r="F31" s="5"/>
      <c r="G31" s="5"/>
      <c r="H31" s="5"/>
      <c r="I31" s="5"/>
      <c r="J31" s="10"/>
      <c r="K31" s="36">
        <f>SUM(C31:J31)</f>
        <v>6.77</v>
      </c>
      <c r="L31" s="12">
        <f t="shared" ref="L31:L33" si="2">B31+K31</f>
        <v>186.18000000000004</v>
      </c>
    </row>
    <row r="32" spans="1:16" ht="20.149999999999999" customHeight="1" x14ac:dyDescent="0.45">
      <c r="A32" s="9" t="s">
        <v>16</v>
      </c>
      <c r="B32" s="16">
        <v>176.45</v>
      </c>
      <c r="C32" s="12">
        <v>16.84</v>
      </c>
      <c r="D32" s="5">
        <v>2.44</v>
      </c>
      <c r="E32" s="5">
        <v>13.62</v>
      </c>
      <c r="F32" s="5">
        <v>3.15</v>
      </c>
      <c r="G32" s="5"/>
      <c r="H32" s="5"/>
      <c r="I32" s="5"/>
      <c r="J32" s="10">
        <v>1.01</v>
      </c>
      <c r="K32" s="21">
        <f>SUM(C32:J32)</f>
        <v>37.059999999999995</v>
      </c>
      <c r="L32" s="12">
        <f t="shared" si="2"/>
        <v>213.51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2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44.129999999999995</v>
      </c>
      <c r="L34" s="19">
        <f>SUM(L30:L33)</f>
        <v>414.56000000000006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2340.09</v>
      </c>
      <c r="C40" s="124" t="s">
        <v>45</v>
      </c>
      <c r="D40" s="124"/>
      <c r="E40" s="44">
        <v>0.57999999999999996</v>
      </c>
      <c r="F40" s="33" t="s">
        <v>33</v>
      </c>
      <c r="G40" s="34">
        <v>0.4</v>
      </c>
      <c r="H40" s="39" t="s">
        <v>38</v>
      </c>
      <c r="I40" s="39">
        <f>E40+G40</f>
        <v>0.98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48.19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1345.3200000000002</v>
      </c>
      <c r="C43" s="5">
        <v>177.54</v>
      </c>
      <c r="D43" s="5">
        <v>77.05</v>
      </c>
      <c r="E43" s="5">
        <v>13.32</v>
      </c>
      <c r="F43" s="5">
        <v>188.74</v>
      </c>
      <c r="G43" s="5"/>
      <c r="H43" s="5"/>
      <c r="I43" s="5">
        <v>15.41</v>
      </c>
      <c r="J43" s="10">
        <v>22</v>
      </c>
      <c r="K43" s="26">
        <f>SUM(B43:J43)+L34+E37</f>
        <v>2270.5700000000002</v>
      </c>
      <c r="L43" s="27">
        <f>B40+H26-H27</f>
        <v>2269.62</v>
      </c>
      <c r="M43" s="29">
        <f>K43-L43-E40</f>
        <v>0.37000000000027289</v>
      </c>
    </row>
    <row r="48" spans="1:19" ht="20.149999999999999" customHeight="1" x14ac:dyDescent="0.45">
      <c r="Q48" s="122" t="s">
        <v>42</v>
      </c>
      <c r="R48" s="47" t="s">
        <v>43</v>
      </c>
      <c r="S48" s="47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47" t="s">
        <v>43</v>
      </c>
      <c r="S52" s="47" t="s">
        <v>40</v>
      </c>
      <c r="T52" s="47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D1B51-BAF9-48AB-81A4-AB1A1096FCAB}">
  <sheetPr codeName="Sheet8">
    <pageSetUpPr fitToPage="1"/>
  </sheetPr>
  <dimension ref="A1:T53"/>
  <sheetViews>
    <sheetView workbookViewId="0">
      <selection activeCell="F40" sqref="F40"/>
    </sheetView>
  </sheetViews>
  <sheetFormatPr defaultColWidth="9" defaultRowHeight="20.149999999999999" customHeight="1" x14ac:dyDescent="0.45"/>
  <cols>
    <col min="1" max="1" width="8.58203125" style="3" customWidth="1"/>
    <col min="2" max="2" width="9.58203125" style="2" customWidth="1"/>
    <col min="3" max="5" width="8.58203125" style="2" customWidth="1"/>
    <col min="6" max="6" width="10.33203125" style="2" bestFit="1" customWidth="1"/>
    <col min="7" max="10" width="8.58203125" style="2" customWidth="1"/>
    <col min="11" max="12" width="9.58203125" style="2" customWidth="1"/>
    <col min="13" max="13" width="8.58203125" style="2" customWidth="1"/>
    <col min="14" max="14" width="9" style="2"/>
    <col min="15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57.75" customHeight="1" x14ac:dyDescent="0.45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45909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3.68</v>
      </c>
      <c r="C5" s="5">
        <v>4206.99</v>
      </c>
      <c r="D5" s="5">
        <v>1400.91</v>
      </c>
      <c r="E5" s="5">
        <v>28.51</v>
      </c>
      <c r="F5" s="5">
        <v>452.43</v>
      </c>
      <c r="G5" s="10">
        <v>1675.75</v>
      </c>
      <c r="H5" s="21">
        <f>SUM(B5:G5)</f>
        <v>7768.27</v>
      </c>
    </row>
    <row r="6" spans="1:14" ht="20.149999999999999" customHeight="1" thickBot="1" x14ac:dyDescent="0.5">
      <c r="A6" s="4" t="s">
        <v>4</v>
      </c>
      <c r="B6" s="5">
        <v>1638.58</v>
      </c>
      <c r="C6" s="5">
        <v>2484.4899999999998</v>
      </c>
      <c r="D6" s="5">
        <v>967.41</v>
      </c>
      <c r="E6" s="5">
        <v>5.46</v>
      </c>
      <c r="F6" s="5">
        <v>345.47</v>
      </c>
      <c r="G6" s="10">
        <v>1469.19</v>
      </c>
      <c r="H6" s="22">
        <f>SUM(B6:G6)</f>
        <v>6910.6</v>
      </c>
    </row>
    <row r="7" spans="1:14" ht="20.149999999999999" customHeight="1" thickBot="1" x14ac:dyDescent="0.5"/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0</v>
      </c>
      <c r="C9" s="12">
        <v>0.85</v>
      </c>
      <c r="D9" s="5">
        <v>2.48</v>
      </c>
      <c r="E9" s="5"/>
      <c r="F9" s="5"/>
      <c r="G9" s="5"/>
      <c r="H9" s="5"/>
      <c r="I9" s="5"/>
      <c r="J9" s="10"/>
      <c r="K9" s="21">
        <f>SUM(C9:J9)</f>
        <v>3.33</v>
      </c>
      <c r="L9" s="12">
        <f>B9+K9</f>
        <v>3.33</v>
      </c>
    </row>
    <row r="10" spans="1:14" ht="20.149999999999999" customHeight="1" x14ac:dyDescent="0.45">
      <c r="A10" s="9" t="s">
        <v>15</v>
      </c>
      <c r="B10" s="16">
        <v>0</v>
      </c>
      <c r="C10" s="12">
        <v>37.36</v>
      </c>
      <c r="D10" s="5">
        <v>7.45</v>
      </c>
      <c r="E10" s="5"/>
      <c r="F10" s="5"/>
      <c r="G10" s="5"/>
      <c r="H10" s="5"/>
      <c r="I10" s="5"/>
      <c r="J10" s="10"/>
      <c r="K10" s="21">
        <f>SUM(C10:J10)</f>
        <v>44.81</v>
      </c>
      <c r="L10" s="12">
        <f>B10+K10</f>
        <v>44.81</v>
      </c>
    </row>
    <row r="11" spans="1:14" ht="20.149999999999999" customHeight="1" x14ac:dyDescent="0.45">
      <c r="A11" s="9" t="s">
        <v>16</v>
      </c>
      <c r="B11" s="16">
        <v>0</v>
      </c>
      <c r="C11" s="12">
        <v>33.97</v>
      </c>
      <c r="D11" s="5">
        <v>37.479999999999997</v>
      </c>
      <c r="E11" s="5"/>
      <c r="F11" s="5"/>
      <c r="G11" s="5"/>
      <c r="H11" s="5"/>
      <c r="I11" s="5"/>
      <c r="J11" s="10"/>
      <c r="K11" s="21">
        <f>SUM(C11:J11)</f>
        <v>71.449999999999989</v>
      </c>
      <c r="L11" s="12">
        <f>B11+K11</f>
        <v>71.449999999999989</v>
      </c>
    </row>
    <row r="12" spans="1:14" ht="20.149999999999999" customHeight="1" thickBot="1" x14ac:dyDescent="0.5">
      <c r="A12" s="32" t="s">
        <v>11</v>
      </c>
      <c r="B12" s="18">
        <f t="shared" ref="B12:L12" si="0">SUM(B9:B11)</f>
        <v>0</v>
      </c>
      <c r="C12" s="19">
        <f t="shared" si="0"/>
        <v>72.180000000000007</v>
      </c>
      <c r="D12" s="8">
        <f t="shared" si="0"/>
        <v>47.41</v>
      </c>
      <c r="E12" s="8">
        <f t="shared" si="0"/>
        <v>0</v>
      </c>
      <c r="F12" s="8">
        <f t="shared" si="0"/>
        <v>0</v>
      </c>
      <c r="G12" s="8">
        <f t="shared" si="0"/>
        <v>0</v>
      </c>
      <c r="H12" s="8">
        <f t="shared" si="0"/>
        <v>0</v>
      </c>
      <c r="I12" s="8">
        <f t="shared" si="0"/>
        <v>0</v>
      </c>
      <c r="J12" s="8">
        <f t="shared" si="0"/>
        <v>0</v>
      </c>
      <c r="K12" s="23">
        <f t="shared" si="0"/>
        <v>119.58999999999999</v>
      </c>
      <c r="L12" s="19">
        <f t="shared" si="0"/>
        <v>119.58999999999999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44.17</v>
      </c>
      <c r="C15" s="12">
        <v>3.1</v>
      </c>
      <c r="D15" s="10">
        <v>0</v>
      </c>
      <c r="E15" s="22">
        <f>B15+C15-D15</f>
        <v>47.27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16712.29</v>
      </c>
      <c r="C18" s="124" t="s">
        <v>45</v>
      </c>
      <c r="D18" s="124"/>
      <c r="E18" s="44">
        <v>0</v>
      </c>
      <c r="F18" s="33" t="s">
        <v>33</v>
      </c>
      <c r="G18" s="34">
        <v>0.97</v>
      </c>
      <c r="H18" s="39" t="s">
        <v>38</v>
      </c>
      <c r="I18" s="39">
        <f>E18+G18</f>
        <v>0.97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3976.12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47</v>
      </c>
      <c r="I20" s="4" t="s">
        <v>48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49999999999999" customHeight="1" thickBot="1" x14ac:dyDescent="0.5">
      <c r="A21" s="4" t="s">
        <v>28</v>
      </c>
      <c r="B21" s="5">
        <f>C19+D19+E19+F19-I19-J19-K19-L19</f>
        <v>12566.99</v>
      </c>
      <c r="C21" s="5">
        <v>2213.85</v>
      </c>
      <c r="D21" s="5">
        <v>1067.58</v>
      </c>
      <c r="E21" s="5">
        <v>376.76</v>
      </c>
      <c r="F21" s="5">
        <v>953.23</v>
      </c>
      <c r="G21" s="5">
        <v>0.43</v>
      </c>
      <c r="H21" s="5">
        <v>5.52</v>
      </c>
      <c r="I21" s="5">
        <v>167.8</v>
      </c>
      <c r="J21" s="10">
        <v>63</v>
      </c>
      <c r="K21" s="26">
        <f>B21+C21+D21+E21+F21+G21+H21+I21+J21+L12+E15</f>
        <v>17582.02</v>
      </c>
      <c r="L21" s="27">
        <f>B18+H5-H6</f>
        <v>17569.96</v>
      </c>
      <c r="M21" s="29">
        <f>K21-L21-G18</f>
        <v>11.090000000001309</v>
      </c>
    </row>
    <row r="22" spans="1:16" ht="20.149999999999999" customHeight="1" x14ac:dyDescent="0.45">
      <c r="M22" s="2">
        <f>M21-I18</f>
        <v>10.120000000001308</v>
      </c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0.59</v>
      </c>
      <c r="C26" s="5">
        <v>497.08</v>
      </c>
      <c r="D26" s="5">
        <v>218.09</v>
      </c>
      <c r="E26" s="5"/>
      <c r="F26" s="5">
        <v>10.41</v>
      </c>
      <c r="G26" s="10">
        <v>282.02999999999997</v>
      </c>
      <c r="H26" s="21">
        <f>SUM(B26:G26)</f>
        <v>1008.1999999999999</v>
      </c>
    </row>
    <row r="27" spans="1:16" ht="20.149999999999999" customHeight="1" thickBot="1" x14ac:dyDescent="0.5">
      <c r="A27" s="4" t="s">
        <v>4</v>
      </c>
      <c r="B27" s="5">
        <v>271.04000000000002</v>
      </c>
      <c r="C27" s="5">
        <v>245.29</v>
      </c>
      <c r="D27" s="5">
        <v>229.61</v>
      </c>
      <c r="E27" s="5"/>
      <c r="F27" s="5">
        <v>1.62</v>
      </c>
      <c r="G27" s="10">
        <v>93.45</v>
      </c>
      <c r="H27" s="22">
        <f>SUM(B27:G27)</f>
        <v>841.0100000000001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0</v>
      </c>
      <c r="C30" s="12"/>
      <c r="D30" s="5"/>
      <c r="E30" s="5"/>
      <c r="F30" s="5"/>
      <c r="G30" s="5"/>
      <c r="H30" s="5"/>
      <c r="I30" s="5"/>
      <c r="J30" s="10"/>
      <c r="K30" s="21">
        <f>SUM(C30:J30)</f>
        <v>0</v>
      </c>
      <c r="L30" s="12">
        <f>B30+K30</f>
        <v>0</v>
      </c>
    </row>
    <row r="31" spans="1:16" ht="20.149999999999999" customHeight="1" x14ac:dyDescent="0.45">
      <c r="A31" s="9" t="s">
        <v>15</v>
      </c>
      <c r="B31" s="16">
        <v>0</v>
      </c>
      <c r="C31" s="12">
        <v>4.25</v>
      </c>
      <c r="D31" s="5">
        <v>1.54</v>
      </c>
      <c r="E31" s="5"/>
      <c r="F31" s="5"/>
      <c r="G31" s="5"/>
      <c r="H31" s="5"/>
      <c r="I31" s="5"/>
      <c r="J31" s="10"/>
      <c r="K31" s="36">
        <f>SUM(C31:J31)</f>
        <v>5.79</v>
      </c>
      <c r="L31" s="12">
        <f t="shared" ref="L31:L33" si="1">B31+K31</f>
        <v>5.79</v>
      </c>
    </row>
    <row r="32" spans="1:16" ht="20.149999999999999" customHeight="1" x14ac:dyDescent="0.45">
      <c r="A32" s="9" t="s">
        <v>16</v>
      </c>
      <c r="B32" s="16">
        <v>0</v>
      </c>
      <c r="C32" s="12">
        <v>0.55000000000000004</v>
      </c>
      <c r="D32" s="5">
        <v>6.88</v>
      </c>
      <c r="E32" s="5"/>
      <c r="F32" s="5"/>
      <c r="G32" s="5"/>
      <c r="H32" s="5"/>
      <c r="I32" s="5"/>
      <c r="J32" s="10"/>
      <c r="K32" s="21">
        <f>SUM(C32:J32)</f>
        <v>7.43</v>
      </c>
      <c r="L32" s="12">
        <f t="shared" si="1"/>
        <v>7.43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13.219999999999999</v>
      </c>
      <c r="L34" s="19">
        <f>SUM(L30:L33)</f>
        <v>13.219999999999999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2269.62</v>
      </c>
      <c r="C40" s="124" t="s">
        <v>45</v>
      </c>
      <c r="D40" s="124"/>
      <c r="E40" s="44">
        <v>0</v>
      </c>
      <c r="F40" s="33" t="s">
        <v>33</v>
      </c>
      <c r="G40" s="34">
        <v>0.11</v>
      </c>
      <c r="H40" s="39" t="s">
        <v>38</v>
      </c>
      <c r="I40" s="39">
        <f>E40+G40</f>
        <v>0.11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462.75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1759.88</v>
      </c>
      <c r="C43" s="5">
        <v>404.94</v>
      </c>
      <c r="D43" s="5">
        <v>72.260000000000005</v>
      </c>
      <c r="E43" s="5">
        <v>46.52</v>
      </c>
      <c r="F43" s="5">
        <v>86.35</v>
      </c>
      <c r="G43" s="5"/>
      <c r="H43" s="5">
        <v>1.55</v>
      </c>
      <c r="I43" s="5">
        <v>15.41</v>
      </c>
      <c r="J43" s="10">
        <v>22</v>
      </c>
      <c r="K43" s="26">
        <f>SUM(B43:J43)+L34+E37</f>
        <v>2438.7600000000002</v>
      </c>
      <c r="L43" s="27">
        <f>B40+H26-H27</f>
        <v>2436.8099999999995</v>
      </c>
      <c r="M43" s="29">
        <f>K43-L43-E40</f>
        <v>1.9500000000007276</v>
      </c>
    </row>
    <row r="48" spans="1:19" ht="20.149999999999999" customHeight="1" x14ac:dyDescent="0.45">
      <c r="Q48" s="122" t="s">
        <v>42</v>
      </c>
      <c r="R48" s="48" t="s">
        <v>43</v>
      </c>
      <c r="S48" s="48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48" t="s">
        <v>43</v>
      </c>
      <c r="S52" s="48" t="s">
        <v>40</v>
      </c>
      <c r="T52" s="48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27AB4-88B2-47DF-904C-8BDF316E3078}">
  <sheetPr codeName="Sheet9">
    <pageSetUpPr fitToPage="1"/>
  </sheetPr>
  <dimension ref="A1:T53"/>
  <sheetViews>
    <sheetView topLeftCell="A19" workbookViewId="0">
      <selection activeCell="K38" sqref="K38"/>
    </sheetView>
  </sheetViews>
  <sheetFormatPr defaultColWidth="9" defaultRowHeight="20.149999999999999" customHeight="1" x14ac:dyDescent="0.45"/>
  <cols>
    <col min="1" max="1" width="8.58203125" style="3" customWidth="1"/>
    <col min="2" max="2" width="9.58203125" style="2" customWidth="1"/>
    <col min="3" max="5" width="8.58203125" style="2" customWidth="1"/>
    <col min="6" max="6" width="10.33203125" style="2" bestFit="1" customWidth="1"/>
    <col min="7" max="10" width="8.58203125" style="2" customWidth="1"/>
    <col min="11" max="12" width="9.58203125" style="2" customWidth="1"/>
    <col min="13" max="13" width="8.58203125" style="2" customWidth="1"/>
    <col min="14" max="14" width="9" style="2"/>
    <col min="15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57.75" customHeight="1" x14ac:dyDescent="0.45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45910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0.03</v>
      </c>
      <c r="C5" s="5">
        <v>3657.24</v>
      </c>
      <c r="D5" s="5">
        <v>2237.98</v>
      </c>
      <c r="E5" s="5">
        <v>24.17</v>
      </c>
      <c r="F5" s="5">
        <v>141.04</v>
      </c>
      <c r="G5" s="10">
        <v>2384.48</v>
      </c>
      <c r="H5" s="21">
        <f>SUM(B5:G5)</f>
        <v>8444.94</v>
      </c>
    </row>
    <row r="6" spans="1:14" ht="20.149999999999999" customHeight="1" thickBot="1" x14ac:dyDescent="0.5">
      <c r="A6" s="4" t="s">
        <v>4</v>
      </c>
      <c r="B6" s="5">
        <v>2406.4299999999998</v>
      </c>
      <c r="C6" s="5">
        <v>1591.04</v>
      </c>
      <c r="D6" s="5">
        <v>1525.62</v>
      </c>
      <c r="E6" s="5">
        <v>26.92</v>
      </c>
      <c r="F6" s="5">
        <v>299.92</v>
      </c>
      <c r="G6" s="10">
        <v>1912.02</v>
      </c>
      <c r="H6" s="22">
        <f>SUM(B6:G6)</f>
        <v>7761.9500000000007</v>
      </c>
    </row>
    <row r="7" spans="1:14" ht="20.149999999999999" customHeight="1" thickBot="1" x14ac:dyDescent="0.5"/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3.33</v>
      </c>
      <c r="C9" s="12">
        <v>0.72</v>
      </c>
      <c r="D9" s="5"/>
      <c r="E9" s="5"/>
      <c r="F9" s="5">
        <v>4.95</v>
      </c>
      <c r="G9" s="5"/>
      <c r="H9" s="5"/>
      <c r="I9" s="5"/>
      <c r="J9" s="10"/>
      <c r="K9" s="21">
        <f>SUM(C9:J9)</f>
        <v>5.67</v>
      </c>
      <c r="L9" s="12">
        <f>B9+K9</f>
        <v>9</v>
      </c>
    </row>
    <row r="10" spans="1:14" ht="20.149999999999999" customHeight="1" x14ac:dyDescent="0.45">
      <c r="A10" s="9" t="s">
        <v>15</v>
      </c>
      <c r="B10" s="16">
        <v>44.81</v>
      </c>
      <c r="C10" s="12">
        <v>46.18</v>
      </c>
      <c r="D10" s="5"/>
      <c r="E10" s="5"/>
      <c r="F10" s="5"/>
      <c r="G10" s="5"/>
      <c r="H10" s="5">
        <v>18.95</v>
      </c>
      <c r="I10" s="5"/>
      <c r="J10" s="10"/>
      <c r="K10" s="21">
        <f>SUM(C10:J10)</f>
        <v>65.13</v>
      </c>
      <c r="L10" s="12">
        <f>B10+K10</f>
        <v>109.94</v>
      </c>
    </row>
    <row r="11" spans="1:14" ht="20.149999999999999" customHeight="1" x14ac:dyDescent="0.45">
      <c r="A11" s="9" t="s">
        <v>16</v>
      </c>
      <c r="B11" s="16">
        <v>71.449999999999989</v>
      </c>
      <c r="C11" s="12">
        <v>2.8</v>
      </c>
      <c r="D11" s="5">
        <v>9.26</v>
      </c>
      <c r="E11" s="5">
        <v>25.02</v>
      </c>
      <c r="F11" s="5">
        <v>25.18</v>
      </c>
      <c r="G11" s="5">
        <v>20.04</v>
      </c>
      <c r="H11" s="5">
        <v>42.62</v>
      </c>
      <c r="I11" s="5">
        <v>2.62</v>
      </c>
      <c r="J11" s="10">
        <v>5.95</v>
      </c>
      <c r="K11" s="21">
        <f>SUM(C11:J11)</f>
        <v>133.48999999999998</v>
      </c>
      <c r="L11" s="12">
        <f>B11+K11</f>
        <v>204.93999999999997</v>
      </c>
    </row>
    <row r="12" spans="1:14" ht="20.149999999999999" customHeight="1" thickBot="1" x14ac:dyDescent="0.5">
      <c r="A12" s="32" t="s">
        <v>11</v>
      </c>
      <c r="B12" s="18">
        <f t="shared" ref="B12:L12" si="0">SUM(B9:B11)</f>
        <v>119.58999999999999</v>
      </c>
      <c r="C12" s="19">
        <f t="shared" si="0"/>
        <v>49.699999999999996</v>
      </c>
      <c r="D12" s="8">
        <f t="shared" si="0"/>
        <v>9.26</v>
      </c>
      <c r="E12" s="8">
        <f t="shared" si="0"/>
        <v>25.02</v>
      </c>
      <c r="F12" s="8">
        <f t="shared" si="0"/>
        <v>30.13</v>
      </c>
      <c r="G12" s="8">
        <f t="shared" si="0"/>
        <v>20.04</v>
      </c>
      <c r="H12" s="8">
        <f t="shared" si="0"/>
        <v>61.569999999999993</v>
      </c>
      <c r="I12" s="8">
        <f t="shared" si="0"/>
        <v>2.62</v>
      </c>
      <c r="J12" s="8">
        <f t="shared" si="0"/>
        <v>5.95</v>
      </c>
      <c r="K12" s="23">
        <f t="shared" si="0"/>
        <v>204.28999999999996</v>
      </c>
      <c r="L12" s="19">
        <f t="shared" si="0"/>
        <v>323.88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47.27</v>
      </c>
      <c r="C15" s="12"/>
      <c r="D15" s="10"/>
      <c r="E15" s="22">
        <f>B15+C15-D15</f>
        <v>47.27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17569.96</v>
      </c>
      <c r="C18" s="124" t="s">
        <v>45</v>
      </c>
      <c r="D18" s="124"/>
      <c r="E18" s="44">
        <v>0.97</v>
      </c>
      <c r="F18" s="33" t="s">
        <v>33</v>
      </c>
      <c r="G18" s="34">
        <v>0.43</v>
      </c>
      <c r="H18" s="39" t="s">
        <v>38</v>
      </c>
      <c r="I18" s="39">
        <f>E18+G18</f>
        <v>1.4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3976.12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47</v>
      </c>
      <c r="I20" s="4" t="s">
        <v>48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49999999999999" customHeight="1" thickBot="1" x14ac:dyDescent="0.5">
      <c r="A21" s="4" t="s">
        <v>28</v>
      </c>
      <c r="B21" s="5">
        <f>C19+D19+E19+F19-I19-J19-K19-L19</f>
        <v>12566.99</v>
      </c>
      <c r="C21" s="5">
        <v>3012.25</v>
      </c>
      <c r="D21" s="5">
        <v>914.84</v>
      </c>
      <c r="E21" s="5">
        <v>271.27</v>
      </c>
      <c r="F21" s="5">
        <v>884.64</v>
      </c>
      <c r="G21" s="5">
        <v>0.4</v>
      </c>
      <c r="H21" s="5">
        <v>8.9499999999999993</v>
      </c>
      <c r="I21" s="5">
        <v>167.8</v>
      </c>
      <c r="J21" s="10">
        <v>63</v>
      </c>
      <c r="K21" s="26">
        <f>B21+C21+D21+E21+F21+G21+H21+I21+J21+L12+E15</f>
        <v>18261.29</v>
      </c>
      <c r="L21" s="27">
        <f>B18+H5-H6</f>
        <v>18252.95</v>
      </c>
      <c r="M21" s="29">
        <f>K21-L21-G18</f>
        <v>7.9100000000001458</v>
      </c>
    </row>
    <row r="22" spans="1:16" ht="20.149999999999999" customHeight="1" x14ac:dyDescent="0.45">
      <c r="M22" s="2">
        <f>M21-I18</f>
        <v>6.5100000000001454</v>
      </c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/>
      <c r="C26" s="5">
        <v>461.28</v>
      </c>
      <c r="D26" s="5">
        <v>240.7</v>
      </c>
      <c r="E26" s="5"/>
      <c r="F26" s="5">
        <v>5.87</v>
      </c>
      <c r="G26" s="10">
        <v>239.16</v>
      </c>
      <c r="H26" s="21">
        <f>SUM(B26:G26)</f>
        <v>947.01</v>
      </c>
    </row>
    <row r="27" spans="1:16" ht="20.149999999999999" customHeight="1" thickBot="1" x14ac:dyDescent="0.5">
      <c r="A27" s="4" t="s">
        <v>4</v>
      </c>
      <c r="B27" s="5">
        <v>245.73</v>
      </c>
      <c r="C27" s="5">
        <v>119.94</v>
      </c>
      <c r="D27" s="5">
        <v>108.42</v>
      </c>
      <c r="E27" s="5"/>
      <c r="F27" s="5">
        <v>14.36</v>
      </c>
      <c r="G27" s="10">
        <v>249.26</v>
      </c>
      <c r="H27" s="22">
        <f>SUM(B27:G27)</f>
        <v>737.71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0</v>
      </c>
      <c r="C30" s="12"/>
      <c r="D30" s="5"/>
      <c r="E30" s="5">
        <v>0.6</v>
      </c>
      <c r="F30" s="5"/>
      <c r="G30" s="5"/>
      <c r="H30" s="5"/>
      <c r="I30" s="5"/>
      <c r="J30" s="10"/>
      <c r="K30" s="21">
        <f>SUM(C30:J30)</f>
        <v>0.6</v>
      </c>
      <c r="L30" s="12">
        <f>B30+K30</f>
        <v>0.6</v>
      </c>
    </row>
    <row r="31" spans="1:16" ht="20.149999999999999" customHeight="1" x14ac:dyDescent="0.45">
      <c r="A31" s="9" t="s">
        <v>15</v>
      </c>
      <c r="B31" s="16">
        <v>5.79</v>
      </c>
      <c r="C31" s="12">
        <v>4.8099999999999996</v>
      </c>
      <c r="D31" s="5"/>
      <c r="E31" s="5">
        <v>1.59</v>
      </c>
      <c r="F31" s="5"/>
      <c r="G31" s="5"/>
      <c r="H31" s="5"/>
      <c r="I31" s="5"/>
      <c r="J31" s="10"/>
      <c r="K31" s="36">
        <f>SUM(C31:J31)</f>
        <v>6.3999999999999995</v>
      </c>
      <c r="L31" s="12">
        <f t="shared" ref="L31:L33" si="1">B31+K31</f>
        <v>12.19</v>
      </c>
    </row>
    <row r="32" spans="1:16" ht="20.149999999999999" customHeight="1" x14ac:dyDescent="0.45">
      <c r="A32" s="9" t="s">
        <v>16</v>
      </c>
      <c r="B32" s="16">
        <v>7.43</v>
      </c>
      <c r="C32" s="12">
        <v>3.19</v>
      </c>
      <c r="D32" s="5">
        <v>3.63</v>
      </c>
      <c r="E32" s="5">
        <v>4.1100000000000003</v>
      </c>
      <c r="F32" s="5">
        <v>1.3</v>
      </c>
      <c r="G32" s="5"/>
      <c r="H32" s="5"/>
      <c r="I32" s="5"/>
      <c r="J32" s="10"/>
      <c r="K32" s="21">
        <f>SUM(C32:J32)</f>
        <v>12.23</v>
      </c>
      <c r="L32" s="12">
        <f t="shared" si="1"/>
        <v>19.66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19.23</v>
      </c>
      <c r="L34" s="19">
        <f>SUM(L30:L33)</f>
        <v>32.450000000000003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2436.8099999999995</v>
      </c>
      <c r="C40" s="124" t="s">
        <v>45</v>
      </c>
      <c r="D40" s="124"/>
      <c r="E40" s="44">
        <v>0.11</v>
      </c>
      <c r="F40" s="33" t="s">
        <v>33</v>
      </c>
      <c r="G40" s="34">
        <v>0.2</v>
      </c>
      <c r="H40" s="39" t="s">
        <v>38</v>
      </c>
      <c r="I40" s="39">
        <f>E40+G40</f>
        <v>0.31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462.75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1759.88</v>
      </c>
      <c r="C43" s="5">
        <v>496.82</v>
      </c>
      <c r="D43" s="5">
        <v>112.47</v>
      </c>
      <c r="E43" s="5">
        <v>42.01</v>
      </c>
      <c r="F43" s="5">
        <v>150.37</v>
      </c>
      <c r="G43" s="5"/>
      <c r="H43" s="5">
        <v>0.13</v>
      </c>
      <c r="I43" s="5">
        <v>15.41</v>
      </c>
      <c r="J43" s="10">
        <v>22</v>
      </c>
      <c r="K43" s="26">
        <f>SUM(B43:J43)+L34+E37</f>
        <v>2648.17</v>
      </c>
      <c r="L43" s="27">
        <f>B40+H26-H27</f>
        <v>2646.1099999999997</v>
      </c>
      <c r="M43" s="29">
        <f>K43-L43-E40</f>
        <v>1.9500000000004001</v>
      </c>
    </row>
    <row r="48" spans="1:19" ht="20.149999999999999" customHeight="1" x14ac:dyDescent="0.45">
      <c r="Q48" s="122" t="s">
        <v>42</v>
      </c>
      <c r="R48" s="49" t="s">
        <v>43</v>
      </c>
      <c r="S48" s="49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49" t="s">
        <v>43</v>
      </c>
      <c r="S52" s="49" t="s">
        <v>40</v>
      </c>
      <c r="T52" s="49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8E34D-2E75-40D4-8644-7111AEACDC3E}">
  <sheetPr codeName="Sheet10">
    <pageSetUpPr fitToPage="1"/>
  </sheetPr>
  <dimension ref="A1:T53"/>
  <sheetViews>
    <sheetView topLeftCell="A19" workbookViewId="0">
      <selection activeCell="E40" sqref="E40"/>
    </sheetView>
  </sheetViews>
  <sheetFormatPr defaultColWidth="9" defaultRowHeight="20.149999999999999" customHeight="1" x14ac:dyDescent="0.45"/>
  <cols>
    <col min="1" max="1" width="8.58203125" style="3" customWidth="1"/>
    <col min="2" max="2" width="9.58203125" style="2" customWidth="1"/>
    <col min="3" max="5" width="8.58203125" style="2" customWidth="1"/>
    <col min="6" max="6" width="10.33203125" style="2" bestFit="1" customWidth="1"/>
    <col min="7" max="10" width="8.58203125" style="2" customWidth="1"/>
    <col min="11" max="12" width="9.58203125" style="2" customWidth="1"/>
    <col min="13" max="13" width="8.58203125" style="2" customWidth="1"/>
    <col min="14" max="14" width="9" style="2"/>
    <col min="15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57.75" customHeight="1" x14ac:dyDescent="0.45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45911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5.87</v>
      </c>
      <c r="C5" s="5">
        <v>2453.04</v>
      </c>
      <c r="D5" s="5">
        <v>2103.38</v>
      </c>
      <c r="E5" s="5">
        <v>31.17</v>
      </c>
      <c r="F5" s="5">
        <v>236.73</v>
      </c>
      <c r="G5" s="10">
        <v>3014.89</v>
      </c>
      <c r="H5" s="21">
        <f>SUM(B5:G5)</f>
        <v>7845.08</v>
      </c>
    </row>
    <row r="6" spans="1:14" ht="20.149999999999999" customHeight="1" thickBot="1" x14ac:dyDescent="0.5">
      <c r="A6" s="4" t="s">
        <v>4</v>
      </c>
      <c r="B6" s="5">
        <v>2825.83</v>
      </c>
      <c r="C6" s="5">
        <v>988.75</v>
      </c>
      <c r="D6" s="5">
        <v>1315.01</v>
      </c>
      <c r="E6" s="5"/>
      <c r="F6" s="5">
        <v>304.07</v>
      </c>
      <c r="G6" s="10">
        <v>3464.16</v>
      </c>
      <c r="H6" s="22">
        <f>SUM(B6:G6)</f>
        <v>8897.82</v>
      </c>
    </row>
    <row r="7" spans="1:14" ht="20.149999999999999" customHeight="1" thickBot="1" x14ac:dyDescent="0.5"/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9</v>
      </c>
      <c r="C9" s="12">
        <v>1.18</v>
      </c>
      <c r="D9" s="5"/>
      <c r="E9" s="5"/>
      <c r="F9" s="5">
        <v>4.82</v>
      </c>
      <c r="G9" s="5"/>
      <c r="H9" s="5"/>
      <c r="I9" s="5"/>
      <c r="J9" s="10"/>
      <c r="K9" s="21">
        <f>SUM(C9:J9)</f>
        <v>6</v>
      </c>
      <c r="L9" s="12">
        <f>B9+K9</f>
        <v>15</v>
      </c>
    </row>
    <row r="10" spans="1:14" ht="20.149999999999999" customHeight="1" x14ac:dyDescent="0.45">
      <c r="A10" s="9" t="s">
        <v>15</v>
      </c>
      <c r="B10" s="16">
        <v>109.94</v>
      </c>
      <c r="C10" s="12">
        <v>12.43</v>
      </c>
      <c r="D10" s="5">
        <v>10.19</v>
      </c>
      <c r="E10" s="5"/>
      <c r="F10" s="5"/>
      <c r="G10" s="5"/>
      <c r="H10" s="5">
        <v>7.7</v>
      </c>
      <c r="I10" s="5"/>
      <c r="J10" s="10"/>
      <c r="K10" s="21">
        <f>SUM(C10:J10)</f>
        <v>30.319999999999997</v>
      </c>
      <c r="L10" s="12">
        <f>B10+K10</f>
        <v>140.26</v>
      </c>
    </row>
    <row r="11" spans="1:14" ht="20.149999999999999" customHeight="1" x14ac:dyDescent="0.45">
      <c r="A11" s="9" t="s">
        <v>16</v>
      </c>
      <c r="B11" s="16">
        <v>204.93999999999997</v>
      </c>
      <c r="C11" s="12">
        <v>25.31</v>
      </c>
      <c r="D11" s="5">
        <v>40.03</v>
      </c>
      <c r="E11" s="5">
        <v>16.440000000000001</v>
      </c>
      <c r="F11" s="5">
        <v>33.04</v>
      </c>
      <c r="G11" s="5">
        <v>8.11</v>
      </c>
      <c r="H11" s="5">
        <v>49.55</v>
      </c>
      <c r="I11" s="5"/>
      <c r="J11" s="10">
        <v>9.35</v>
      </c>
      <c r="K11" s="21">
        <f>SUM(C11:J11)</f>
        <v>181.82999999999998</v>
      </c>
      <c r="L11" s="12">
        <f>B11+K11</f>
        <v>386.77</v>
      </c>
    </row>
    <row r="12" spans="1:14" ht="20.149999999999999" customHeight="1" thickBot="1" x14ac:dyDescent="0.5">
      <c r="A12" s="32" t="s">
        <v>11</v>
      </c>
      <c r="B12" s="18">
        <f t="shared" ref="B12:L12" si="0">SUM(B9:B11)</f>
        <v>323.88</v>
      </c>
      <c r="C12" s="19">
        <f t="shared" si="0"/>
        <v>38.92</v>
      </c>
      <c r="D12" s="8">
        <f t="shared" si="0"/>
        <v>50.22</v>
      </c>
      <c r="E12" s="8">
        <f t="shared" si="0"/>
        <v>16.440000000000001</v>
      </c>
      <c r="F12" s="8">
        <f t="shared" si="0"/>
        <v>37.86</v>
      </c>
      <c r="G12" s="8">
        <f t="shared" si="0"/>
        <v>8.11</v>
      </c>
      <c r="H12" s="8">
        <f t="shared" si="0"/>
        <v>57.25</v>
      </c>
      <c r="I12" s="8">
        <f t="shared" si="0"/>
        <v>0</v>
      </c>
      <c r="J12" s="8">
        <f t="shared" si="0"/>
        <v>9.35</v>
      </c>
      <c r="K12" s="23">
        <f t="shared" si="0"/>
        <v>218.14999999999998</v>
      </c>
      <c r="L12" s="19">
        <f t="shared" si="0"/>
        <v>542.03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47.27</v>
      </c>
      <c r="C15" s="12"/>
      <c r="D15" s="10"/>
      <c r="E15" s="22">
        <f>B15+C15-D15</f>
        <v>47.27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18252.95</v>
      </c>
      <c r="C18" s="124" t="s">
        <v>45</v>
      </c>
      <c r="D18" s="124"/>
      <c r="E18" s="44">
        <v>1.4</v>
      </c>
      <c r="F18" s="33" t="s">
        <v>33</v>
      </c>
      <c r="G18" s="34">
        <v>2</v>
      </c>
      <c r="H18" s="39" t="s">
        <v>38</v>
      </c>
      <c r="I18" s="39">
        <f>E18+G18</f>
        <v>3.4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3976.12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47</v>
      </c>
      <c r="I20" s="4" t="s">
        <v>48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49999999999999" customHeight="1" thickBot="1" x14ac:dyDescent="0.5">
      <c r="A21" s="4" t="s">
        <v>28</v>
      </c>
      <c r="B21" s="5">
        <f>C19+D19+E19+F19-I19-J19-K19-L19</f>
        <v>12566.99</v>
      </c>
      <c r="C21" s="5">
        <v>1779.1</v>
      </c>
      <c r="D21" s="5">
        <v>1024.98</v>
      </c>
      <c r="E21" s="5">
        <v>74.59</v>
      </c>
      <c r="F21" s="5">
        <v>937.58</v>
      </c>
      <c r="G21" s="5">
        <v>0.25</v>
      </c>
      <c r="H21" s="5">
        <v>4.78</v>
      </c>
      <c r="I21" s="5">
        <v>167.8</v>
      </c>
      <c r="J21" s="10">
        <v>63</v>
      </c>
      <c r="K21" s="26">
        <f>B21+C21+D21+E21+F21+G21+H21+I21+J21+L12+E15</f>
        <v>17208.37</v>
      </c>
      <c r="L21" s="27">
        <f>B18+H5-H6</f>
        <v>17200.21</v>
      </c>
      <c r="M21" s="29">
        <f>K21-L21-G18</f>
        <v>6.1599999999998545</v>
      </c>
    </row>
    <row r="22" spans="1:16" ht="20.149999999999999" customHeight="1" x14ac:dyDescent="0.45">
      <c r="M22" s="2">
        <f>M21-I18</f>
        <v>2.7599999999998546</v>
      </c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0.05</v>
      </c>
      <c r="C26" s="5">
        <v>323.18</v>
      </c>
      <c r="D26" s="5">
        <v>205.11</v>
      </c>
      <c r="E26" s="5"/>
      <c r="F26" s="5">
        <v>33.14</v>
      </c>
      <c r="G26" s="10">
        <v>478.43</v>
      </c>
      <c r="H26" s="21">
        <f>SUM(B26:G26)</f>
        <v>1039.9100000000001</v>
      </c>
    </row>
    <row r="27" spans="1:16" ht="20.149999999999999" customHeight="1" thickBot="1" x14ac:dyDescent="0.5">
      <c r="A27" s="4" t="s">
        <v>4</v>
      </c>
      <c r="B27" s="5">
        <v>400.58</v>
      </c>
      <c r="C27" s="5">
        <v>165</v>
      </c>
      <c r="D27" s="5">
        <v>139.16999999999999</v>
      </c>
      <c r="E27" s="5"/>
      <c r="F27" s="5">
        <v>82.01</v>
      </c>
      <c r="G27" s="10">
        <v>621.66999999999996</v>
      </c>
      <c r="H27" s="22">
        <f>SUM(B27:G27)</f>
        <v>1408.4299999999998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0.6</v>
      </c>
      <c r="C30" s="12">
        <v>0.3</v>
      </c>
      <c r="D30" s="5"/>
      <c r="E30" s="5">
        <v>0.83</v>
      </c>
      <c r="F30" s="5"/>
      <c r="G30" s="5"/>
      <c r="H30" s="5"/>
      <c r="I30" s="5"/>
      <c r="J30" s="10"/>
      <c r="K30" s="21">
        <f>SUM(C30:J30)</f>
        <v>1.1299999999999999</v>
      </c>
      <c r="L30" s="12">
        <f>B30+K30</f>
        <v>1.73</v>
      </c>
    </row>
    <row r="31" spans="1:16" ht="20.149999999999999" customHeight="1" x14ac:dyDescent="0.45">
      <c r="A31" s="9" t="s">
        <v>15</v>
      </c>
      <c r="B31" s="16">
        <v>12.19</v>
      </c>
      <c r="C31" s="12">
        <v>4.05</v>
      </c>
      <c r="D31" s="5"/>
      <c r="E31" s="5">
        <v>0.4</v>
      </c>
      <c r="F31" s="5"/>
      <c r="G31" s="5"/>
      <c r="H31" s="5"/>
      <c r="I31" s="5"/>
      <c r="J31" s="10"/>
      <c r="K31" s="36">
        <f>SUM(C31:J31)</f>
        <v>4.45</v>
      </c>
      <c r="L31" s="12">
        <f t="shared" ref="L31:L33" si="1">B31+K31</f>
        <v>16.64</v>
      </c>
    </row>
    <row r="32" spans="1:16" ht="20.149999999999999" customHeight="1" x14ac:dyDescent="0.45">
      <c r="A32" s="9" t="s">
        <v>16</v>
      </c>
      <c r="B32" s="16">
        <v>19.66</v>
      </c>
      <c r="C32" s="12">
        <v>9.2799999999999994</v>
      </c>
      <c r="D32" s="5">
        <v>3.33</v>
      </c>
      <c r="E32" s="5">
        <v>8.5</v>
      </c>
      <c r="F32" s="5">
        <v>1.93</v>
      </c>
      <c r="G32" s="5"/>
      <c r="H32" s="5"/>
      <c r="I32" s="5"/>
      <c r="J32" s="10">
        <v>0.13</v>
      </c>
      <c r="K32" s="21">
        <f>SUM(C32:J32)</f>
        <v>23.169999999999998</v>
      </c>
      <c r="L32" s="12">
        <f t="shared" si="1"/>
        <v>42.83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28.75</v>
      </c>
      <c r="L34" s="19">
        <f>SUM(L30:L33)</f>
        <v>61.2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>
        <v>16.63</v>
      </c>
      <c r="B37" s="14">
        <v>16.63</v>
      </c>
      <c r="C37" s="12"/>
      <c r="D37" s="10"/>
      <c r="E37" s="22">
        <f>B37+C37-D37</f>
        <v>16.63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2646.1099999999997</v>
      </c>
      <c r="C40" s="124" t="s">
        <v>45</v>
      </c>
      <c r="D40" s="124"/>
      <c r="E40" s="44">
        <v>0.31</v>
      </c>
      <c r="F40" s="33" t="s">
        <v>33</v>
      </c>
      <c r="G40" s="34">
        <v>0.51</v>
      </c>
      <c r="H40" s="39" t="s">
        <v>38</v>
      </c>
      <c r="I40" s="39">
        <f>E40+G40</f>
        <v>0.82000000000000006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462.75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1759.88</v>
      </c>
      <c r="C43" s="5">
        <v>178.4</v>
      </c>
      <c r="D43" s="5">
        <v>79.55</v>
      </c>
      <c r="E43" s="5">
        <v>9.61</v>
      </c>
      <c r="F43" s="5">
        <v>138.16</v>
      </c>
      <c r="G43" s="5"/>
      <c r="H43" s="5">
        <v>0.35</v>
      </c>
      <c r="I43" s="5">
        <v>15.41</v>
      </c>
      <c r="J43" s="10">
        <v>22</v>
      </c>
      <c r="K43" s="26">
        <f>SUM(B43:J43)+L34+E37</f>
        <v>2281.1899999999996</v>
      </c>
      <c r="L43" s="27">
        <f>B40+H26-H27</f>
        <v>2277.5899999999997</v>
      </c>
      <c r="M43" s="29">
        <f>K43-L43-E40</f>
        <v>3.289999999999909</v>
      </c>
    </row>
    <row r="48" spans="1:19" ht="20.149999999999999" customHeight="1" x14ac:dyDescent="0.45">
      <c r="Q48" s="122" t="s">
        <v>42</v>
      </c>
      <c r="R48" s="50" t="s">
        <v>43</v>
      </c>
      <c r="S48" s="50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50" t="s">
        <v>43</v>
      </c>
      <c r="S52" s="50" t="s">
        <v>40</v>
      </c>
      <c r="T52" s="50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06259-AD98-407B-8227-61A546CDD541}">
  <sheetPr codeName="Sheet11">
    <pageSetUpPr fitToPage="1"/>
  </sheetPr>
  <dimension ref="A1:T53"/>
  <sheetViews>
    <sheetView workbookViewId="0">
      <selection activeCell="F40" sqref="F40"/>
    </sheetView>
  </sheetViews>
  <sheetFormatPr defaultColWidth="9" defaultRowHeight="20.149999999999999" customHeight="1" x14ac:dyDescent="0.45"/>
  <cols>
    <col min="1" max="1" width="8.58203125" style="3" customWidth="1"/>
    <col min="2" max="2" width="9.58203125" style="2" customWidth="1"/>
    <col min="3" max="5" width="8.58203125" style="2" customWidth="1"/>
    <col min="6" max="6" width="10.33203125" style="2" bestFit="1" customWidth="1"/>
    <col min="7" max="10" width="8.58203125" style="2" customWidth="1"/>
    <col min="11" max="12" width="9.58203125" style="2" customWidth="1"/>
    <col min="13" max="13" width="8.58203125" style="2" customWidth="1"/>
    <col min="14" max="14" width="9" style="2"/>
    <col min="15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57.75" customHeight="1" x14ac:dyDescent="0.45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45912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0.06</v>
      </c>
      <c r="C5" s="5">
        <v>3110.36</v>
      </c>
      <c r="D5" s="5">
        <v>1807.21</v>
      </c>
      <c r="E5" s="5">
        <v>72.98</v>
      </c>
      <c r="F5" s="5">
        <v>1046.75</v>
      </c>
      <c r="G5" s="10">
        <v>1877.92</v>
      </c>
      <c r="H5" s="21">
        <f>SUM(B5:G5)</f>
        <v>7915.28</v>
      </c>
    </row>
    <row r="6" spans="1:14" ht="20.149999999999999" customHeight="1" thickBot="1" x14ac:dyDescent="0.5">
      <c r="A6" s="4" t="s">
        <v>4</v>
      </c>
      <c r="B6" s="5">
        <v>1084</v>
      </c>
      <c r="C6" s="5">
        <v>2252.58</v>
      </c>
      <c r="D6" s="5">
        <v>663.9</v>
      </c>
      <c r="E6" s="5">
        <v>17.079999999999998</v>
      </c>
      <c r="F6" s="5">
        <v>495.2</v>
      </c>
      <c r="G6" s="10">
        <v>2170.0700000000002</v>
      </c>
      <c r="H6" s="22">
        <f>SUM(B6:G6)</f>
        <v>6682.83</v>
      </c>
    </row>
    <row r="7" spans="1:14" ht="20.149999999999999" customHeight="1" thickBot="1" x14ac:dyDescent="0.5"/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15</v>
      </c>
      <c r="C9" s="12">
        <v>1.37</v>
      </c>
      <c r="D9" s="5"/>
      <c r="E9" s="5"/>
      <c r="F9" s="5">
        <v>8.2100000000000009</v>
      </c>
      <c r="G9" s="5"/>
      <c r="H9" s="5"/>
      <c r="I9" s="5"/>
      <c r="J9" s="10"/>
      <c r="K9" s="21">
        <f>SUM(C9:J9)</f>
        <v>9.5800000000000018</v>
      </c>
      <c r="L9" s="12">
        <f>B9+K9</f>
        <v>24.580000000000002</v>
      </c>
    </row>
    <row r="10" spans="1:14" ht="20.149999999999999" customHeight="1" x14ac:dyDescent="0.45">
      <c r="A10" s="9" t="s">
        <v>15</v>
      </c>
      <c r="B10" s="16">
        <v>140.26</v>
      </c>
      <c r="C10" s="12">
        <v>28.16</v>
      </c>
      <c r="D10" s="5"/>
      <c r="E10" s="5"/>
      <c r="F10" s="5"/>
      <c r="G10" s="5"/>
      <c r="H10" s="5">
        <v>7.85</v>
      </c>
      <c r="I10" s="5"/>
      <c r="J10" s="10"/>
      <c r="K10" s="21">
        <f>SUM(C10:J10)</f>
        <v>36.01</v>
      </c>
      <c r="L10" s="12">
        <f>B10+K10</f>
        <v>176.26999999999998</v>
      </c>
    </row>
    <row r="11" spans="1:14" ht="20.149999999999999" customHeight="1" x14ac:dyDescent="0.45">
      <c r="A11" s="9" t="s">
        <v>16</v>
      </c>
      <c r="B11" s="16">
        <v>386.77</v>
      </c>
      <c r="C11" s="12">
        <v>8.66</v>
      </c>
      <c r="D11" s="5">
        <v>32.049999999999997</v>
      </c>
      <c r="E11" s="5">
        <v>11.11</v>
      </c>
      <c r="F11" s="5">
        <v>33.909999999999997</v>
      </c>
      <c r="G11" s="5">
        <v>4.42</v>
      </c>
      <c r="H11" s="5">
        <v>21.51</v>
      </c>
      <c r="I11" s="5">
        <v>1.81</v>
      </c>
      <c r="J11" s="10">
        <v>8.1199999999999992</v>
      </c>
      <c r="K11" s="21">
        <f>SUM(C11:J11)</f>
        <v>121.59</v>
      </c>
      <c r="L11" s="12">
        <f>B11+K11</f>
        <v>508.36</v>
      </c>
    </row>
    <row r="12" spans="1:14" ht="20.149999999999999" customHeight="1" thickBot="1" x14ac:dyDescent="0.5">
      <c r="A12" s="32" t="s">
        <v>11</v>
      </c>
      <c r="B12" s="18">
        <f t="shared" ref="B12:L12" si="0">SUM(B9:B11)</f>
        <v>542.03</v>
      </c>
      <c r="C12" s="19">
        <f t="shared" si="0"/>
        <v>38.19</v>
      </c>
      <c r="D12" s="8">
        <f t="shared" si="0"/>
        <v>32.049999999999997</v>
      </c>
      <c r="E12" s="8">
        <f t="shared" si="0"/>
        <v>11.11</v>
      </c>
      <c r="F12" s="8">
        <f t="shared" si="0"/>
        <v>42.12</v>
      </c>
      <c r="G12" s="8">
        <f t="shared" si="0"/>
        <v>4.42</v>
      </c>
      <c r="H12" s="8">
        <f t="shared" si="0"/>
        <v>29.36</v>
      </c>
      <c r="I12" s="8">
        <f t="shared" si="0"/>
        <v>1.81</v>
      </c>
      <c r="J12" s="8">
        <f t="shared" si="0"/>
        <v>8.1199999999999992</v>
      </c>
      <c r="K12" s="23">
        <f t="shared" si="0"/>
        <v>167.18</v>
      </c>
      <c r="L12" s="19">
        <f t="shared" si="0"/>
        <v>709.21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47.27</v>
      </c>
      <c r="C15" s="12"/>
      <c r="D15" s="10"/>
      <c r="E15" s="22">
        <f>B15+C15-D15</f>
        <v>47.27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17200.21</v>
      </c>
      <c r="C18" s="124" t="s">
        <v>45</v>
      </c>
      <c r="D18" s="124"/>
      <c r="E18" s="44">
        <v>3.4</v>
      </c>
      <c r="F18" s="33" t="s">
        <v>33</v>
      </c>
      <c r="G18" s="34">
        <v>2.17</v>
      </c>
      <c r="H18" s="39" t="s">
        <v>38</v>
      </c>
      <c r="I18" s="39">
        <f>E18+G18</f>
        <v>5.57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47</v>
      </c>
      <c r="I20" s="4" t="s">
        <v>48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49999999999999" customHeight="1" thickBot="1" x14ac:dyDescent="0.5">
      <c r="A21" s="4" t="s">
        <v>28</v>
      </c>
      <c r="B21" s="5">
        <f>C19+D19+E19+F19-I19-J19-K19-L19</f>
        <v>13078.88</v>
      </c>
      <c r="C21" s="5">
        <v>1812.06</v>
      </c>
      <c r="D21" s="5">
        <v>1523.4</v>
      </c>
      <c r="E21" s="5">
        <v>123.33</v>
      </c>
      <c r="F21" s="5">
        <v>918.59</v>
      </c>
      <c r="G21" s="5">
        <v>0.21</v>
      </c>
      <c r="H21" s="5">
        <v>5.22</v>
      </c>
      <c r="I21" s="5">
        <v>167.8</v>
      </c>
      <c r="J21" s="10">
        <v>63</v>
      </c>
      <c r="K21" s="26">
        <f>B21+C21+D21+E21+F21+G21+H21+I21+J21+L12+E15</f>
        <v>18448.97</v>
      </c>
      <c r="L21" s="27">
        <f>B18+H5-H6</f>
        <v>18432.659999999996</v>
      </c>
      <c r="M21" s="29">
        <f>K21-L21-G18</f>
        <v>14.140000000004948</v>
      </c>
    </row>
    <row r="22" spans="1:16" ht="20.149999999999999" customHeight="1" x14ac:dyDescent="0.45">
      <c r="M22" s="2">
        <f>M21-I18</f>
        <v>8.5700000000049474</v>
      </c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/>
      <c r="C26" s="5">
        <v>367.1</v>
      </c>
      <c r="D26" s="5">
        <v>226.05</v>
      </c>
      <c r="E26" s="5"/>
      <c r="F26" s="5">
        <v>123.77</v>
      </c>
      <c r="G26" s="10">
        <v>269.32</v>
      </c>
      <c r="H26" s="21">
        <f>SUM(B26:G26)</f>
        <v>986.24</v>
      </c>
    </row>
    <row r="27" spans="1:16" ht="20.149999999999999" customHeight="1" thickBot="1" x14ac:dyDescent="0.5">
      <c r="A27" s="4" t="s">
        <v>4</v>
      </c>
      <c r="B27" s="5">
        <v>270.83</v>
      </c>
      <c r="C27" s="5">
        <v>178.33</v>
      </c>
      <c r="D27" s="5">
        <v>193.93</v>
      </c>
      <c r="E27" s="5"/>
      <c r="F27" s="5">
        <v>23.3</v>
      </c>
      <c r="G27" s="10">
        <v>203.18</v>
      </c>
      <c r="H27" s="22">
        <f>SUM(B27:G27)</f>
        <v>869.56999999999994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1.73</v>
      </c>
      <c r="C30" s="12">
        <v>0.35</v>
      </c>
      <c r="D30" s="5"/>
      <c r="E30" s="5">
        <v>0.5</v>
      </c>
      <c r="F30" s="5"/>
      <c r="G30" s="5"/>
      <c r="H30" s="5"/>
      <c r="I30" s="5"/>
      <c r="J30" s="10"/>
      <c r="K30" s="21">
        <f>SUM(C30:J30)</f>
        <v>0.85</v>
      </c>
      <c r="L30" s="12">
        <f>B30+K30</f>
        <v>2.58</v>
      </c>
    </row>
    <row r="31" spans="1:16" ht="20.149999999999999" customHeight="1" x14ac:dyDescent="0.45">
      <c r="A31" s="9" t="s">
        <v>15</v>
      </c>
      <c r="B31" s="16">
        <v>16.64</v>
      </c>
      <c r="C31" s="12">
        <v>2.58</v>
      </c>
      <c r="D31" s="5"/>
      <c r="E31" s="5">
        <v>1.72</v>
      </c>
      <c r="F31" s="5"/>
      <c r="G31" s="5"/>
      <c r="H31" s="5"/>
      <c r="I31" s="5"/>
      <c r="J31" s="10"/>
      <c r="K31" s="36">
        <f>SUM(C31:J31)</f>
        <v>4.3</v>
      </c>
      <c r="L31" s="12">
        <f t="shared" ref="L31:L33" si="1">B31+K31</f>
        <v>20.94</v>
      </c>
    </row>
    <row r="32" spans="1:16" ht="20.149999999999999" customHeight="1" x14ac:dyDescent="0.45">
      <c r="A32" s="9" t="s">
        <v>16</v>
      </c>
      <c r="B32" s="16">
        <v>42.83</v>
      </c>
      <c r="C32" s="12">
        <v>3.89</v>
      </c>
      <c r="D32" s="5">
        <v>0.72</v>
      </c>
      <c r="E32" s="5">
        <v>8.57</v>
      </c>
      <c r="F32" s="5">
        <v>5.29</v>
      </c>
      <c r="G32" s="5"/>
      <c r="H32" s="5"/>
      <c r="I32" s="5"/>
      <c r="J32" s="10"/>
      <c r="K32" s="21">
        <f>SUM(C32:J32)</f>
        <v>18.47</v>
      </c>
      <c r="L32" s="12">
        <f t="shared" si="1"/>
        <v>61.3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23.619999999999997</v>
      </c>
      <c r="L34" s="19">
        <f>SUM(L30:L33)</f>
        <v>84.82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>
        <v>16.63</v>
      </c>
      <c r="B37" s="14">
        <v>16.63</v>
      </c>
      <c r="C37" s="12"/>
      <c r="D37" s="10"/>
      <c r="E37" s="22">
        <f>B37+C37-D37</f>
        <v>16.63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2277.5899999999997</v>
      </c>
      <c r="C40" s="124" t="s">
        <v>45</v>
      </c>
      <c r="D40" s="124"/>
      <c r="E40" s="44">
        <v>0.82</v>
      </c>
      <c r="F40" s="33" t="s">
        <v>33</v>
      </c>
      <c r="G40" s="34">
        <v>0.2</v>
      </c>
      <c r="H40" s="39" t="s">
        <v>38</v>
      </c>
      <c r="I40" s="39">
        <f>E40+G40</f>
        <v>1.02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1833.31</v>
      </c>
      <c r="C43" s="5">
        <v>207.83</v>
      </c>
      <c r="D43" s="5">
        <v>96.98</v>
      </c>
      <c r="E43" s="5">
        <v>2.39</v>
      </c>
      <c r="F43" s="5">
        <v>116.75</v>
      </c>
      <c r="G43" s="5"/>
      <c r="H43" s="5">
        <v>0.28000000000000003</v>
      </c>
      <c r="I43" s="5">
        <v>15.41</v>
      </c>
      <c r="J43" s="10">
        <v>22</v>
      </c>
      <c r="K43" s="26">
        <f>SUM(B43:J43)+L34+E37</f>
        <v>2396.4</v>
      </c>
      <c r="L43" s="27">
        <f>B40+H26-H27</f>
        <v>2394.2600000000002</v>
      </c>
      <c r="M43" s="29">
        <f>K43-L43-E40</f>
        <v>1.3199999999998728</v>
      </c>
    </row>
    <row r="48" spans="1:19" ht="20.149999999999999" customHeight="1" x14ac:dyDescent="0.45">
      <c r="Q48" s="122" t="s">
        <v>42</v>
      </c>
      <c r="R48" s="51" t="s">
        <v>43</v>
      </c>
      <c r="S48" s="51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51" t="s">
        <v>43</v>
      </c>
      <c r="S52" s="51" t="s">
        <v>40</v>
      </c>
      <c r="T52" s="51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86DA7-5797-4CE0-B1F5-200204E2D504}">
  <sheetPr codeName="Sheet12">
    <pageSetUpPr fitToPage="1"/>
  </sheetPr>
  <dimension ref="A1:T53"/>
  <sheetViews>
    <sheetView topLeftCell="A10" zoomScaleNormal="100" zoomScaleSheetLayoutView="100" workbookViewId="0">
      <selection activeCell="AA48" sqref="AA48"/>
    </sheetView>
  </sheetViews>
  <sheetFormatPr defaultColWidth="9" defaultRowHeight="20.149999999999999" customHeight="1" x14ac:dyDescent="0.45"/>
  <cols>
    <col min="1" max="1" width="8.58203125" style="3" customWidth="1"/>
    <col min="2" max="2" width="9.83203125" style="2" bestFit="1" customWidth="1"/>
    <col min="3" max="11" width="8.58203125" style="2" customWidth="1"/>
    <col min="12" max="13" width="9.83203125" style="2" bestFit="1" customWidth="1"/>
    <col min="14" max="14" width="6.25" style="2" customWidth="1"/>
    <col min="15" max="15" width="8.58203125" style="1" customWidth="1"/>
    <col min="16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111.75" customHeight="1" x14ac:dyDescent="0.45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45915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9.89</v>
      </c>
      <c r="C5" s="5">
        <v>2724.23</v>
      </c>
      <c r="D5" s="5">
        <v>978.79</v>
      </c>
      <c r="E5" s="5">
        <v>35.17</v>
      </c>
      <c r="F5" s="5">
        <v>360.83</v>
      </c>
      <c r="G5" s="10">
        <v>2457.52</v>
      </c>
      <c r="H5" s="21">
        <f>SUM(B5:G5)</f>
        <v>6566.43</v>
      </c>
    </row>
    <row r="6" spans="1:14" ht="20.149999999999999" customHeight="1" thickBot="1" x14ac:dyDescent="0.5">
      <c r="A6" s="4" t="s">
        <v>4</v>
      </c>
      <c r="B6" s="5">
        <v>2492.0700000000002</v>
      </c>
      <c r="C6" s="5">
        <v>1072.46</v>
      </c>
      <c r="D6" s="5">
        <v>414.94</v>
      </c>
      <c r="E6" s="5"/>
      <c r="F6" s="5">
        <v>428.61</v>
      </c>
      <c r="G6" s="10">
        <v>2841.96</v>
      </c>
      <c r="H6" s="22">
        <f>SUM(B6:G6)</f>
        <v>7250.04</v>
      </c>
    </row>
    <row r="7" spans="1:14" ht="20.149999999999999" customHeight="1" thickBot="1" x14ac:dyDescent="0.5"/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24.580000000000002</v>
      </c>
      <c r="C9" s="12">
        <v>3.26</v>
      </c>
      <c r="D9" s="5"/>
      <c r="E9" s="5"/>
      <c r="F9" s="5">
        <v>8.6</v>
      </c>
      <c r="G9" s="5"/>
      <c r="H9" s="5"/>
      <c r="I9" s="5"/>
      <c r="J9" s="10"/>
      <c r="K9" s="21">
        <f>SUM(C9:J9)</f>
        <v>11.86</v>
      </c>
      <c r="L9" s="12">
        <f>B9+K9</f>
        <v>36.44</v>
      </c>
    </row>
    <row r="10" spans="1:14" ht="20.149999999999999" customHeight="1" x14ac:dyDescent="0.45">
      <c r="A10" s="9" t="s">
        <v>15</v>
      </c>
      <c r="B10" s="16">
        <v>176.26999999999998</v>
      </c>
      <c r="C10" s="12">
        <v>29.53</v>
      </c>
      <c r="D10" s="5"/>
      <c r="E10" s="5"/>
      <c r="F10" s="5">
        <v>2.17</v>
      </c>
      <c r="G10" s="5"/>
      <c r="H10" s="5"/>
      <c r="I10" s="5"/>
      <c r="J10" s="10"/>
      <c r="K10" s="21">
        <f>SUM(C10:J10)</f>
        <v>31.700000000000003</v>
      </c>
      <c r="L10" s="12">
        <f>B10+K10</f>
        <v>207.96999999999997</v>
      </c>
    </row>
    <row r="11" spans="1:14" ht="20.149999999999999" customHeight="1" x14ac:dyDescent="0.45">
      <c r="A11" s="9" t="s">
        <v>16</v>
      </c>
      <c r="B11" s="16">
        <v>508.36</v>
      </c>
      <c r="C11" s="12">
        <v>19.53</v>
      </c>
      <c r="D11" s="5">
        <v>39.880000000000003</v>
      </c>
      <c r="E11" s="5">
        <v>13.9</v>
      </c>
      <c r="F11" s="5">
        <v>47.48</v>
      </c>
      <c r="G11" s="5">
        <v>14.4</v>
      </c>
      <c r="H11" s="5">
        <v>10.91</v>
      </c>
      <c r="I11" s="5"/>
      <c r="J11" s="10">
        <v>5.22</v>
      </c>
      <c r="K11" s="21">
        <f>SUM(C11:J11)</f>
        <v>151.32</v>
      </c>
      <c r="L11" s="12">
        <f>B11+K11</f>
        <v>659.68000000000006</v>
      </c>
    </row>
    <row r="12" spans="1:14" ht="20.149999999999999" customHeight="1" thickBot="1" x14ac:dyDescent="0.5">
      <c r="A12" s="32" t="s">
        <v>11</v>
      </c>
      <c r="B12" s="18">
        <f t="shared" ref="B12:L12" si="0">SUM(B9:B11)</f>
        <v>709.21</v>
      </c>
      <c r="C12" s="19">
        <f t="shared" si="0"/>
        <v>52.32</v>
      </c>
      <c r="D12" s="8">
        <f t="shared" si="0"/>
        <v>39.880000000000003</v>
      </c>
      <c r="E12" s="8">
        <f t="shared" si="0"/>
        <v>13.9</v>
      </c>
      <c r="F12" s="8">
        <f t="shared" si="0"/>
        <v>58.25</v>
      </c>
      <c r="G12" s="8">
        <f t="shared" si="0"/>
        <v>14.4</v>
      </c>
      <c r="H12" s="8">
        <f t="shared" si="0"/>
        <v>10.91</v>
      </c>
      <c r="I12" s="8">
        <f t="shared" si="0"/>
        <v>0</v>
      </c>
      <c r="J12" s="8">
        <f t="shared" si="0"/>
        <v>5.22</v>
      </c>
      <c r="K12" s="23">
        <f t="shared" si="0"/>
        <v>194.88</v>
      </c>
      <c r="L12" s="19">
        <f t="shared" si="0"/>
        <v>904.09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47.27</v>
      </c>
      <c r="C15" s="12"/>
      <c r="D15" s="10"/>
      <c r="E15" s="22">
        <f>B15+C15-D15</f>
        <v>47.27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18432.659999999996</v>
      </c>
      <c r="C18" s="124" t="s">
        <v>45</v>
      </c>
      <c r="D18" s="124"/>
      <c r="E18" s="44">
        <v>5.57</v>
      </c>
      <c r="F18" s="33" t="s">
        <v>33</v>
      </c>
      <c r="G18" s="34">
        <v>2.46</v>
      </c>
      <c r="H18" s="39" t="s">
        <v>38</v>
      </c>
      <c r="I18" s="39">
        <f>E18+G18</f>
        <v>8.0300000000000011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  <c r="N19" s="15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48</v>
      </c>
      <c r="K20" s="9" t="s">
        <v>17</v>
      </c>
      <c r="L20" s="24" t="s">
        <v>30</v>
      </c>
      <c r="M20" s="25" t="s">
        <v>31</v>
      </c>
      <c r="N20" s="28" t="s">
        <v>32</v>
      </c>
      <c r="O20" s="2"/>
    </row>
    <row r="21" spans="1:16" ht="20.149999999999999" customHeight="1" thickBot="1" x14ac:dyDescent="0.5">
      <c r="A21" s="4" t="s">
        <v>28</v>
      </c>
      <c r="B21" s="5">
        <f>C19+D19+E19+F19-I19-J19-K19-L19</f>
        <v>13078.88</v>
      </c>
      <c r="C21" s="5">
        <v>1379.19</v>
      </c>
      <c r="D21" s="5">
        <v>1160.24</v>
      </c>
      <c r="E21" s="5">
        <v>79.31</v>
      </c>
      <c r="F21" s="5">
        <v>876.55</v>
      </c>
      <c r="G21" s="5">
        <v>0.46</v>
      </c>
      <c r="H21" s="5">
        <v>3.41</v>
      </c>
      <c r="I21" s="5">
        <v>9.9</v>
      </c>
      <c r="J21" s="5">
        <v>167.8</v>
      </c>
      <c r="K21" s="10">
        <v>63</v>
      </c>
      <c r="L21" s="26">
        <f>B21+C21+D21+E21+F21+G21+H21+J21+K21+L12+E15+I21</f>
        <v>17770.099999999999</v>
      </c>
      <c r="M21" s="27">
        <f>B18+H5-H6</f>
        <v>17749.049999999996</v>
      </c>
      <c r="N21" s="29">
        <f>L21-M21-G18</f>
        <v>18.59000000000291</v>
      </c>
      <c r="O21" s="2"/>
    </row>
    <row r="22" spans="1:16" ht="20.149999999999999" customHeight="1" x14ac:dyDescent="0.45">
      <c r="M22" s="53"/>
      <c r="N22" s="53">
        <f>N21-I18</f>
        <v>10.560000000002908</v>
      </c>
      <c r="O22" s="2"/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0.97</v>
      </c>
      <c r="C26" s="5">
        <v>487.48</v>
      </c>
      <c r="D26" s="5">
        <v>218.14</v>
      </c>
      <c r="E26" s="5"/>
      <c r="F26" s="5">
        <v>33.369999999999997</v>
      </c>
      <c r="G26" s="10">
        <v>220.65</v>
      </c>
      <c r="H26" s="21">
        <f>SUM(B26:G26)</f>
        <v>960.61</v>
      </c>
    </row>
    <row r="27" spans="1:16" ht="20.149999999999999" customHeight="1" thickBot="1" x14ac:dyDescent="0.5">
      <c r="A27" s="4" t="s">
        <v>4</v>
      </c>
      <c r="B27" s="5">
        <v>224.84</v>
      </c>
      <c r="C27" s="5">
        <v>196.44</v>
      </c>
      <c r="D27" s="5">
        <v>102.32</v>
      </c>
      <c r="E27" s="5"/>
      <c r="F27" s="5">
        <v>15.14</v>
      </c>
      <c r="G27" s="10">
        <v>365.7</v>
      </c>
      <c r="H27" s="22">
        <f>SUM(B27:G27)</f>
        <v>904.43999999999983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2.58</v>
      </c>
      <c r="C30" s="12"/>
      <c r="D30" s="5"/>
      <c r="E30" s="5">
        <v>0.75</v>
      </c>
      <c r="F30" s="5"/>
      <c r="G30" s="5"/>
      <c r="H30" s="5"/>
      <c r="I30" s="5"/>
      <c r="J30" s="10"/>
      <c r="K30" s="21">
        <f>SUM(C30:J30)</f>
        <v>0.75</v>
      </c>
      <c r="L30" s="12">
        <f>B30+K30</f>
        <v>3.33</v>
      </c>
    </row>
    <row r="31" spans="1:16" ht="20.149999999999999" customHeight="1" x14ac:dyDescent="0.45">
      <c r="A31" s="9" t="s">
        <v>15</v>
      </c>
      <c r="B31" s="16">
        <v>20.94</v>
      </c>
      <c r="C31" s="12">
        <v>5.13</v>
      </c>
      <c r="D31" s="5"/>
      <c r="E31" s="5">
        <v>2</v>
      </c>
      <c r="F31" s="5"/>
      <c r="G31" s="5"/>
      <c r="H31" s="5"/>
      <c r="I31" s="5"/>
      <c r="J31" s="10"/>
      <c r="K31" s="36">
        <f>SUM(C31:J31)</f>
        <v>7.13</v>
      </c>
      <c r="L31" s="12">
        <f t="shared" ref="L31:L33" si="1">B31+K31</f>
        <v>28.07</v>
      </c>
    </row>
    <row r="32" spans="1:16" ht="20.149999999999999" customHeight="1" x14ac:dyDescent="0.45">
      <c r="A32" s="9" t="s">
        <v>16</v>
      </c>
      <c r="B32" s="16">
        <v>61.3</v>
      </c>
      <c r="C32" s="12">
        <v>4.59</v>
      </c>
      <c r="D32" s="5">
        <v>0.02</v>
      </c>
      <c r="E32" s="5">
        <v>8.02</v>
      </c>
      <c r="F32" s="5">
        <v>4.29</v>
      </c>
      <c r="G32" s="5"/>
      <c r="H32" s="5"/>
      <c r="I32" s="5"/>
      <c r="J32" s="10">
        <v>0.28000000000000003</v>
      </c>
      <c r="K32" s="21">
        <f>SUM(C32:J32)</f>
        <v>17.2</v>
      </c>
      <c r="L32" s="12">
        <f t="shared" si="1"/>
        <v>78.5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25.08</v>
      </c>
      <c r="L34" s="19">
        <f>SUM(L30:L33)</f>
        <v>109.9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2394.2600000000002</v>
      </c>
      <c r="C40" s="124" t="s">
        <v>45</v>
      </c>
      <c r="D40" s="124"/>
      <c r="E40" s="44">
        <v>1.02</v>
      </c>
      <c r="F40" s="33" t="s">
        <v>33</v>
      </c>
      <c r="G40" s="34">
        <v>0.31</v>
      </c>
      <c r="H40" s="39" t="s">
        <v>38</v>
      </c>
      <c r="I40" s="39">
        <f>E40+G40</f>
        <v>1.33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1833.31</v>
      </c>
      <c r="C43" s="5">
        <v>107.86</v>
      </c>
      <c r="D43" s="5">
        <v>58.99</v>
      </c>
      <c r="E43" s="5">
        <v>106.85</v>
      </c>
      <c r="F43" s="5">
        <v>181.31</v>
      </c>
      <c r="G43" s="5"/>
      <c r="H43" s="54">
        <v>0.65</v>
      </c>
      <c r="I43" s="5">
        <v>15.41</v>
      </c>
      <c r="J43" s="10">
        <v>22</v>
      </c>
      <c r="K43" s="26">
        <f>SUM(B43:J43)+L34+E37</f>
        <v>2452.91</v>
      </c>
      <c r="L43" s="27">
        <f>B40+H26-H27</f>
        <v>2450.4300000000003</v>
      </c>
      <c r="M43" s="29">
        <f>K43-L43-E40</f>
        <v>1.4599999999995634</v>
      </c>
    </row>
    <row r="44" spans="1:19" ht="20.149999999999999" customHeight="1" x14ac:dyDescent="0.45">
      <c r="M44" s="2">
        <f>M43-I40</f>
        <v>0.12999999999956335</v>
      </c>
    </row>
    <row r="48" spans="1:19" ht="20.149999999999999" customHeight="1" x14ac:dyDescent="0.45">
      <c r="Q48" s="122" t="s">
        <v>42</v>
      </c>
      <c r="R48" s="52" t="s">
        <v>43</v>
      </c>
      <c r="S48" s="52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52" t="s">
        <v>43</v>
      </c>
      <c r="S52" s="52" t="s">
        <v>40</v>
      </c>
      <c r="T52" s="52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516B9-550A-43C5-9F5B-09EE2B9A5EAE}">
  <sheetPr codeName="Sheet13">
    <pageSetUpPr fitToPage="1"/>
  </sheetPr>
  <dimension ref="A1:T53"/>
  <sheetViews>
    <sheetView zoomScaleNormal="100" zoomScaleSheetLayoutView="100" workbookViewId="0">
      <selection activeCell="G21" sqref="G21"/>
    </sheetView>
  </sheetViews>
  <sheetFormatPr defaultColWidth="9" defaultRowHeight="20.149999999999999" customHeight="1" x14ac:dyDescent="0.45"/>
  <cols>
    <col min="1" max="1" width="8.58203125" style="3" customWidth="1"/>
    <col min="2" max="2" width="9.83203125" style="2" bestFit="1" customWidth="1"/>
    <col min="3" max="11" width="8.58203125" style="2" customWidth="1"/>
    <col min="12" max="13" width="9.83203125" style="2" bestFit="1" customWidth="1"/>
    <col min="14" max="14" width="6.25" style="2" customWidth="1"/>
    <col min="15" max="15" width="8.58203125" style="1" customWidth="1"/>
    <col min="16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111.75" customHeight="1" x14ac:dyDescent="0.45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45916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2.48</v>
      </c>
      <c r="C5" s="5">
        <v>3644.17</v>
      </c>
      <c r="D5" s="5">
        <v>2441.46</v>
      </c>
      <c r="E5" s="5">
        <v>23.53</v>
      </c>
      <c r="F5" s="5">
        <v>233.54</v>
      </c>
      <c r="G5" s="10">
        <v>2686.4</v>
      </c>
      <c r="H5" s="21">
        <f>SUM(B5:G5)</f>
        <v>9031.58</v>
      </c>
    </row>
    <row r="6" spans="1:14" ht="20.149999999999999" customHeight="1" thickBot="1" x14ac:dyDescent="0.5">
      <c r="A6" s="4" t="s">
        <v>4</v>
      </c>
      <c r="B6" s="5">
        <v>2680.09</v>
      </c>
      <c r="C6" s="5">
        <v>1402.23</v>
      </c>
      <c r="D6" s="5">
        <v>915.24</v>
      </c>
      <c r="E6" s="5">
        <v>16.059999999999999</v>
      </c>
      <c r="F6" s="5">
        <v>53.19</v>
      </c>
      <c r="G6" s="10">
        <v>1854.9</v>
      </c>
      <c r="H6" s="22">
        <f>SUM(B6:G6)</f>
        <v>6921.7100000000009</v>
      </c>
    </row>
    <row r="7" spans="1:14" ht="20.149999999999999" customHeight="1" thickBot="1" x14ac:dyDescent="0.5"/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36.44</v>
      </c>
      <c r="C9" s="12">
        <v>2.0299999999999998</v>
      </c>
      <c r="D9" s="5"/>
      <c r="E9" s="5"/>
      <c r="F9" s="5">
        <v>9.33</v>
      </c>
      <c r="G9" s="5"/>
      <c r="H9" s="5"/>
      <c r="I9" s="5"/>
      <c r="J9" s="10"/>
      <c r="K9" s="21">
        <f>SUM(C9:J9)</f>
        <v>11.36</v>
      </c>
      <c r="L9" s="12">
        <f>B9+K9</f>
        <v>47.8</v>
      </c>
    </row>
    <row r="10" spans="1:14" ht="20.149999999999999" customHeight="1" x14ac:dyDescent="0.45">
      <c r="A10" s="9" t="s">
        <v>15</v>
      </c>
      <c r="B10" s="16">
        <v>207.96999999999997</v>
      </c>
      <c r="C10" s="12">
        <v>26</v>
      </c>
      <c r="D10" s="5">
        <v>10.8</v>
      </c>
      <c r="E10" s="5"/>
      <c r="F10" s="5"/>
      <c r="G10" s="5">
        <v>11.7</v>
      </c>
      <c r="H10" s="5"/>
      <c r="I10" s="5"/>
      <c r="J10" s="10"/>
      <c r="K10" s="21">
        <f>SUM(C10:J10)</f>
        <v>48.5</v>
      </c>
      <c r="L10" s="12">
        <f>B10+K10</f>
        <v>256.46999999999997</v>
      </c>
    </row>
    <row r="11" spans="1:14" ht="20.149999999999999" customHeight="1" x14ac:dyDescent="0.45">
      <c r="A11" s="9" t="s">
        <v>16</v>
      </c>
      <c r="B11" s="16">
        <v>659.68000000000006</v>
      </c>
      <c r="C11" s="12">
        <v>11.11</v>
      </c>
      <c r="D11" s="5">
        <v>22.93</v>
      </c>
      <c r="E11" s="5">
        <v>16.93</v>
      </c>
      <c r="F11" s="5">
        <v>18.18</v>
      </c>
      <c r="G11" s="5">
        <v>5.93</v>
      </c>
      <c r="H11" s="5">
        <v>42.98</v>
      </c>
      <c r="I11" s="5">
        <v>0.66</v>
      </c>
      <c r="J11" s="10">
        <v>9.9</v>
      </c>
      <c r="K11" s="21">
        <f>SUM(C11:J11)</f>
        <v>128.62</v>
      </c>
      <c r="L11" s="12">
        <f>B11+K11</f>
        <v>788.30000000000007</v>
      </c>
    </row>
    <row r="12" spans="1:14" ht="20.149999999999999" customHeight="1" thickBot="1" x14ac:dyDescent="0.5">
      <c r="A12" s="32" t="s">
        <v>11</v>
      </c>
      <c r="B12" s="18">
        <f t="shared" ref="B12:L12" si="0">SUM(B9:B11)</f>
        <v>904.09</v>
      </c>
      <c r="C12" s="19">
        <f t="shared" si="0"/>
        <v>39.14</v>
      </c>
      <c r="D12" s="8">
        <f t="shared" si="0"/>
        <v>33.730000000000004</v>
      </c>
      <c r="E12" s="8">
        <f t="shared" si="0"/>
        <v>16.93</v>
      </c>
      <c r="F12" s="8">
        <f t="shared" si="0"/>
        <v>27.509999999999998</v>
      </c>
      <c r="G12" s="8">
        <f t="shared" si="0"/>
        <v>17.63</v>
      </c>
      <c r="H12" s="8">
        <f t="shared" si="0"/>
        <v>42.98</v>
      </c>
      <c r="I12" s="8">
        <f t="shared" si="0"/>
        <v>0.66</v>
      </c>
      <c r="J12" s="8">
        <f t="shared" si="0"/>
        <v>9.9</v>
      </c>
      <c r="K12" s="23">
        <f t="shared" si="0"/>
        <v>188.48000000000002</v>
      </c>
      <c r="L12" s="19">
        <f t="shared" si="0"/>
        <v>1092.5700000000002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47.27</v>
      </c>
      <c r="C15" s="12">
        <v>165.03</v>
      </c>
      <c r="D15" s="10"/>
      <c r="E15" s="22">
        <f>B15+C15-D15</f>
        <v>212.3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17749.049999999996</v>
      </c>
      <c r="C18" s="124" t="s">
        <v>45</v>
      </c>
      <c r="D18" s="124"/>
      <c r="E18" s="44">
        <v>8.0300000000000011</v>
      </c>
      <c r="F18" s="33" t="s">
        <v>33</v>
      </c>
      <c r="G18" s="34">
        <v>0.22</v>
      </c>
      <c r="H18" s="39" t="s">
        <v>38</v>
      </c>
      <c r="I18" s="39">
        <f>E18+G18</f>
        <v>8.2500000000000018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  <c r="N19" s="15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48</v>
      </c>
      <c r="K20" s="9" t="s">
        <v>17</v>
      </c>
      <c r="L20" s="24" t="s">
        <v>30</v>
      </c>
      <c r="M20" s="25" t="s">
        <v>31</v>
      </c>
      <c r="N20" s="28" t="s">
        <v>32</v>
      </c>
      <c r="O20" s="2"/>
    </row>
    <row r="21" spans="1:16" ht="20.149999999999999" customHeight="1" thickBot="1" x14ac:dyDescent="0.5">
      <c r="A21" s="4" t="s">
        <v>28</v>
      </c>
      <c r="B21" s="5">
        <f>C19+D19+E19+F19-I19-J19-K19-L19</f>
        <v>13078.88</v>
      </c>
      <c r="C21" s="5">
        <v>1567.97</v>
      </c>
      <c r="D21" s="5">
        <v>1552.73</v>
      </c>
      <c r="E21" s="5">
        <v>587.61</v>
      </c>
      <c r="F21" s="5">
        <v>1154.69</v>
      </c>
      <c r="G21" s="5">
        <v>0.37</v>
      </c>
      <c r="H21" s="5">
        <v>356.99</v>
      </c>
      <c r="I21" s="5">
        <v>4.2</v>
      </c>
      <c r="J21" s="5">
        <v>167.8</v>
      </c>
      <c r="K21" s="10">
        <v>63</v>
      </c>
      <c r="L21" s="26">
        <f>B21+C21+D21+E21+F21+G21+H21+J21+K21+L12+E15+I21</f>
        <v>19839.109999999997</v>
      </c>
      <c r="M21" s="27">
        <f>B18+H5-H6</f>
        <v>19858.919999999998</v>
      </c>
      <c r="N21" s="29">
        <f>L21-M21-G18</f>
        <v>-20.030000000001309</v>
      </c>
      <c r="O21" s="2"/>
    </row>
    <row r="22" spans="1:16" ht="20.149999999999999" customHeight="1" x14ac:dyDescent="0.45">
      <c r="M22" s="53"/>
      <c r="N22" s="53">
        <f>N21-I18</f>
        <v>-28.280000000001309</v>
      </c>
      <c r="O22" s="2"/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0.14000000000000001</v>
      </c>
      <c r="C26" s="5">
        <v>519.13</v>
      </c>
      <c r="D26" s="5">
        <v>244.41</v>
      </c>
      <c r="E26" s="5"/>
      <c r="F26" s="5"/>
      <c r="G26" s="10">
        <v>327.74</v>
      </c>
      <c r="H26" s="21">
        <f>SUM(B26:G26)</f>
        <v>1091.42</v>
      </c>
    </row>
    <row r="27" spans="1:16" ht="20.149999999999999" customHeight="1" thickBot="1" x14ac:dyDescent="0.5">
      <c r="A27" s="4" t="s">
        <v>4</v>
      </c>
      <c r="B27" s="5">
        <v>327.49</v>
      </c>
      <c r="C27" s="5">
        <v>141.22999999999999</v>
      </c>
      <c r="D27" s="5">
        <v>184.96</v>
      </c>
      <c r="E27" s="5"/>
      <c r="F27" s="5">
        <v>1.66</v>
      </c>
      <c r="G27" s="10">
        <v>109.93</v>
      </c>
      <c r="H27" s="22">
        <f>SUM(B27:G27)</f>
        <v>765.27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3.33</v>
      </c>
      <c r="C30" s="12"/>
      <c r="D30" s="5">
        <v>0.41</v>
      </c>
      <c r="E30" s="5"/>
      <c r="F30" s="5"/>
      <c r="G30" s="5"/>
      <c r="H30" s="5"/>
      <c r="I30" s="5"/>
      <c r="J30" s="10"/>
      <c r="K30" s="21">
        <f>SUM(C30:J30)</f>
        <v>0.41</v>
      </c>
      <c r="L30" s="12">
        <f>B30+K30</f>
        <v>3.74</v>
      </c>
    </row>
    <row r="31" spans="1:16" ht="20.149999999999999" customHeight="1" x14ac:dyDescent="0.45">
      <c r="A31" s="9" t="s">
        <v>15</v>
      </c>
      <c r="B31" s="16">
        <v>28.07</v>
      </c>
      <c r="C31" s="12">
        <v>3.17</v>
      </c>
      <c r="D31" s="5">
        <v>1.1499999999999999</v>
      </c>
      <c r="E31" s="5"/>
      <c r="F31" s="5"/>
      <c r="G31" s="5"/>
      <c r="H31" s="5"/>
      <c r="I31" s="5"/>
      <c r="J31" s="10"/>
      <c r="K31" s="36">
        <f>SUM(C31:J31)</f>
        <v>4.32</v>
      </c>
      <c r="L31" s="12">
        <f t="shared" ref="L31:L33" si="1">B31+K31</f>
        <v>32.39</v>
      </c>
    </row>
    <row r="32" spans="1:16" ht="20.149999999999999" customHeight="1" x14ac:dyDescent="0.45">
      <c r="A32" s="9" t="s">
        <v>16</v>
      </c>
      <c r="B32" s="16">
        <v>78.5</v>
      </c>
      <c r="C32" s="12">
        <v>3.06</v>
      </c>
      <c r="D32" s="5">
        <v>1.02</v>
      </c>
      <c r="E32" s="5">
        <v>1.75</v>
      </c>
      <c r="F32" s="5">
        <v>10.74</v>
      </c>
      <c r="G32" s="5"/>
      <c r="H32" s="5"/>
      <c r="I32" s="5"/>
      <c r="J32" s="10">
        <v>0.65</v>
      </c>
      <c r="K32" s="21">
        <f>SUM(C32:J32)</f>
        <v>17.22</v>
      </c>
      <c r="L32" s="12">
        <f t="shared" si="1"/>
        <v>95.72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21.95</v>
      </c>
      <c r="L34" s="19">
        <f>SUM(L30:L33)</f>
        <v>131.85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2450.4300000000003</v>
      </c>
      <c r="C40" s="124" t="s">
        <v>45</v>
      </c>
      <c r="D40" s="124"/>
      <c r="E40" s="44">
        <v>1.33</v>
      </c>
      <c r="F40" s="33" t="s">
        <v>33</v>
      </c>
      <c r="G40" s="34">
        <v>0.1</v>
      </c>
      <c r="H40" s="39" t="s">
        <v>38</v>
      </c>
      <c r="I40" s="39">
        <f>E40+G40</f>
        <v>1.4300000000000002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1833.31</v>
      </c>
      <c r="C43" s="5">
        <v>230.28</v>
      </c>
      <c r="D43" s="5">
        <v>131.99</v>
      </c>
      <c r="E43" s="5">
        <v>191.85</v>
      </c>
      <c r="F43" s="5">
        <v>112.81</v>
      </c>
      <c r="G43" s="5">
        <v>116.05</v>
      </c>
      <c r="H43" s="54">
        <v>0.25</v>
      </c>
      <c r="I43" s="5">
        <v>15.41</v>
      </c>
      <c r="J43" s="10">
        <v>22</v>
      </c>
      <c r="K43" s="26">
        <f>SUM(B43:J43)+L34+E37</f>
        <v>2802.43</v>
      </c>
      <c r="L43" s="27">
        <f>B40+H26-H27</f>
        <v>2776.5800000000004</v>
      </c>
      <c r="M43" s="29">
        <f>K43-L43-E40</f>
        <v>24.519999999999456</v>
      </c>
    </row>
    <row r="44" spans="1:19" ht="20.149999999999999" customHeight="1" x14ac:dyDescent="0.45">
      <c r="M44" s="2">
        <f>M43-I40</f>
        <v>23.089999999999456</v>
      </c>
    </row>
    <row r="48" spans="1:19" ht="20.149999999999999" customHeight="1" x14ac:dyDescent="0.45">
      <c r="Q48" s="122" t="s">
        <v>42</v>
      </c>
      <c r="R48" s="55" t="s">
        <v>43</v>
      </c>
      <c r="S48" s="55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55" t="s">
        <v>43</v>
      </c>
      <c r="S52" s="55" t="s">
        <v>40</v>
      </c>
      <c r="T52" s="55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D88DE-52E8-437A-800A-B75595A5177C}">
  <sheetPr codeName="Sheet14">
    <pageSetUpPr fitToPage="1"/>
  </sheetPr>
  <dimension ref="A1:T53"/>
  <sheetViews>
    <sheetView zoomScaleNormal="100" zoomScaleSheetLayoutView="100" workbookViewId="0">
      <selection activeCell="L36" sqref="L36"/>
    </sheetView>
  </sheetViews>
  <sheetFormatPr defaultColWidth="9" defaultRowHeight="20.149999999999999" customHeight="1" x14ac:dyDescent="0.45"/>
  <cols>
    <col min="1" max="1" width="8.58203125" style="3" customWidth="1"/>
    <col min="2" max="2" width="9.83203125" style="2" bestFit="1" customWidth="1"/>
    <col min="3" max="11" width="8.58203125" style="2" customWidth="1"/>
    <col min="12" max="13" width="9.83203125" style="2" bestFit="1" customWidth="1"/>
    <col min="14" max="14" width="6.25" style="2" customWidth="1"/>
    <col min="15" max="15" width="8.58203125" style="1" customWidth="1"/>
    <col min="16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111.75" customHeight="1" x14ac:dyDescent="0.45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45917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0.42</v>
      </c>
      <c r="C5" s="5">
        <v>4272.1400000000003</v>
      </c>
      <c r="D5" s="5">
        <v>1877.23</v>
      </c>
      <c r="E5" s="5">
        <v>22.01</v>
      </c>
      <c r="F5" s="5">
        <v>285.73</v>
      </c>
      <c r="G5" s="10">
        <v>1991.96</v>
      </c>
      <c r="H5" s="21">
        <f>SUM(B5:G5)</f>
        <v>8449.4900000000016</v>
      </c>
    </row>
    <row r="6" spans="1:14" ht="20.149999999999999" customHeight="1" thickBot="1" x14ac:dyDescent="0.5">
      <c r="A6" s="4" t="s">
        <v>4</v>
      </c>
      <c r="B6" s="5">
        <v>2044.13</v>
      </c>
      <c r="C6" s="5">
        <v>2226.88</v>
      </c>
      <c r="D6" s="5">
        <v>1086.57</v>
      </c>
      <c r="E6" s="5">
        <v>21.29</v>
      </c>
      <c r="F6" s="5">
        <v>707.86</v>
      </c>
      <c r="G6" s="10">
        <v>2087.86</v>
      </c>
      <c r="H6" s="22">
        <f>SUM(B6:G6)</f>
        <v>8174.59</v>
      </c>
    </row>
    <row r="7" spans="1:14" ht="20.149999999999999" customHeight="1" thickBot="1" x14ac:dyDescent="0.5"/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47.8</v>
      </c>
      <c r="C9" s="12">
        <v>1.35</v>
      </c>
      <c r="D9" s="5"/>
      <c r="E9" s="5"/>
      <c r="F9" s="5">
        <v>5.81</v>
      </c>
      <c r="G9" s="5"/>
      <c r="H9" s="5"/>
      <c r="I9" s="5"/>
      <c r="J9" s="10"/>
      <c r="K9" s="21">
        <f>SUM(C9:J9)</f>
        <v>7.16</v>
      </c>
      <c r="L9" s="12">
        <f>B9+K9</f>
        <v>54.959999999999994</v>
      </c>
    </row>
    <row r="10" spans="1:14" ht="20.149999999999999" customHeight="1" x14ac:dyDescent="0.45">
      <c r="A10" s="9" t="s">
        <v>15</v>
      </c>
      <c r="B10" s="16">
        <v>256.46999999999997</v>
      </c>
      <c r="C10" s="12">
        <v>27.43</v>
      </c>
      <c r="D10" s="5">
        <v>18.489999999999998</v>
      </c>
      <c r="E10" s="5"/>
      <c r="F10" s="5"/>
      <c r="G10" s="5"/>
      <c r="H10" s="5">
        <v>1.89</v>
      </c>
      <c r="I10" s="5"/>
      <c r="J10" s="10"/>
      <c r="K10" s="21">
        <f>SUM(C10:J10)</f>
        <v>47.81</v>
      </c>
      <c r="L10" s="12">
        <f>B10+K10</f>
        <v>304.27999999999997</v>
      </c>
    </row>
    <row r="11" spans="1:14" ht="20.149999999999999" customHeight="1" x14ac:dyDescent="0.45">
      <c r="A11" s="9" t="s">
        <v>16</v>
      </c>
      <c r="B11" s="16">
        <v>788.30000000000007</v>
      </c>
      <c r="C11" s="12">
        <v>7.91</v>
      </c>
      <c r="D11" s="5">
        <v>44.35</v>
      </c>
      <c r="E11" s="5">
        <v>16.829999999999998</v>
      </c>
      <c r="F11" s="5">
        <v>63.75</v>
      </c>
      <c r="G11" s="5">
        <v>7.68</v>
      </c>
      <c r="H11" s="5">
        <v>29.23</v>
      </c>
      <c r="I11" s="5">
        <v>2.34</v>
      </c>
      <c r="J11" s="10">
        <v>4.57</v>
      </c>
      <c r="K11" s="21">
        <f>SUM(C11:J11)</f>
        <v>176.66</v>
      </c>
      <c r="L11" s="12">
        <f>B11+K11</f>
        <v>964.96</v>
      </c>
    </row>
    <row r="12" spans="1:14" ht="20.149999999999999" customHeight="1" thickBot="1" x14ac:dyDescent="0.5">
      <c r="A12" s="32" t="s">
        <v>11</v>
      </c>
      <c r="B12" s="18">
        <f t="shared" ref="B12:L12" si="0">SUM(B9:B11)</f>
        <v>1092.5700000000002</v>
      </c>
      <c r="C12" s="19">
        <f t="shared" si="0"/>
        <v>36.69</v>
      </c>
      <c r="D12" s="8">
        <f t="shared" si="0"/>
        <v>62.84</v>
      </c>
      <c r="E12" s="8">
        <f t="shared" si="0"/>
        <v>16.829999999999998</v>
      </c>
      <c r="F12" s="8">
        <f t="shared" si="0"/>
        <v>69.56</v>
      </c>
      <c r="G12" s="8">
        <f t="shared" si="0"/>
        <v>7.68</v>
      </c>
      <c r="H12" s="8">
        <f t="shared" si="0"/>
        <v>31.12</v>
      </c>
      <c r="I12" s="8">
        <f t="shared" si="0"/>
        <v>2.34</v>
      </c>
      <c r="J12" s="8">
        <f t="shared" si="0"/>
        <v>4.57</v>
      </c>
      <c r="K12" s="23">
        <f t="shared" si="0"/>
        <v>231.63</v>
      </c>
      <c r="L12" s="19">
        <f t="shared" si="0"/>
        <v>1324.2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212.3</v>
      </c>
      <c r="C15" s="12"/>
      <c r="D15" s="10"/>
      <c r="E15" s="22">
        <f>B15+C15-D15</f>
        <v>212.3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19858.919999999998</v>
      </c>
      <c r="C18" s="124" t="s">
        <v>45</v>
      </c>
      <c r="D18" s="124"/>
      <c r="E18" s="44">
        <v>8.2500000000000018</v>
      </c>
      <c r="F18" s="33" t="s">
        <v>33</v>
      </c>
      <c r="G18" s="34">
        <v>0.63</v>
      </c>
      <c r="H18" s="39" t="s">
        <v>38</v>
      </c>
      <c r="I18" s="39">
        <f>E18+G18</f>
        <v>8.8800000000000026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  <c r="N19" s="15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48</v>
      </c>
      <c r="K20" s="9" t="s">
        <v>17</v>
      </c>
      <c r="L20" s="24" t="s">
        <v>30</v>
      </c>
      <c r="M20" s="25" t="s">
        <v>31</v>
      </c>
      <c r="N20" s="28" t="s">
        <v>32</v>
      </c>
      <c r="O20" s="2"/>
    </row>
    <row r="21" spans="1:16" ht="20.149999999999999" customHeight="1" thickBot="1" x14ac:dyDescent="0.5">
      <c r="A21" s="4" t="s">
        <v>28</v>
      </c>
      <c r="B21" s="5">
        <f>C19+D19+E19+F19-I19-J19-K19-L19</f>
        <v>13078.88</v>
      </c>
      <c r="C21" s="5">
        <v>2436.71</v>
      </c>
      <c r="D21" s="5">
        <v>1177.1400000000001</v>
      </c>
      <c r="E21" s="5">
        <v>394.79</v>
      </c>
      <c r="F21" s="5">
        <v>1286.6199999999999</v>
      </c>
      <c r="G21" s="5">
        <v>0.23</v>
      </c>
      <c r="H21" s="5">
        <v>2.73</v>
      </c>
      <c r="I21" s="5">
        <v>5.82</v>
      </c>
      <c r="J21" s="5">
        <v>167.8</v>
      </c>
      <c r="K21" s="10">
        <v>63</v>
      </c>
      <c r="L21" s="26">
        <f>B21+C21+D21+E21+F21+G21+H21+J21+K21+L12+E15+I21</f>
        <v>20150.219999999998</v>
      </c>
      <c r="M21" s="27">
        <f>B18+H5-H6</f>
        <v>20133.82</v>
      </c>
      <c r="N21" s="29">
        <f>L21-M21-G18</f>
        <v>15.769999999997816</v>
      </c>
      <c r="O21" s="2"/>
    </row>
    <row r="22" spans="1:16" ht="20.149999999999999" customHeight="1" x14ac:dyDescent="0.45">
      <c r="M22" s="53"/>
      <c r="N22" s="53">
        <f>N21-I18</f>
        <v>6.8899999999978139</v>
      </c>
      <c r="O22" s="2"/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0.22</v>
      </c>
      <c r="C26" s="5">
        <v>494.85</v>
      </c>
      <c r="D26" s="5">
        <v>221.61</v>
      </c>
      <c r="E26" s="5"/>
      <c r="F26" s="5">
        <v>21.09</v>
      </c>
      <c r="G26" s="10">
        <v>211.22</v>
      </c>
      <c r="H26" s="21">
        <f>SUM(B26:G26)</f>
        <v>948.99000000000012</v>
      </c>
    </row>
    <row r="27" spans="1:16" ht="20.149999999999999" customHeight="1" thickBot="1" x14ac:dyDescent="0.5">
      <c r="A27" s="4" t="s">
        <v>4</v>
      </c>
      <c r="B27" s="5">
        <v>228.81</v>
      </c>
      <c r="C27" s="5">
        <v>373.01</v>
      </c>
      <c r="D27" s="5">
        <v>143.75</v>
      </c>
      <c r="E27" s="5"/>
      <c r="F27" s="5">
        <v>79.98</v>
      </c>
      <c r="G27" s="10">
        <v>215.63</v>
      </c>
      <c r="H27" s="22">
        <f>SUM(B27:G27)</f>
        <v>1041.1799999999998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3.74</v>
      </c>
      <c r="C30" s="12"/>
      <c r="D30" s="5"/>
      <c r="E30" s="5">
        <v>0.85</v>
      </c>
      <c r="F30" s="5"/>
      <c r="G30" s="5"/>
      <c r="H30" s="5"/>
      <c r="I30" s="5"/>
      <c r="J30" s="10"/>
      <c r="K30" s="21">
        <f>SUM(C30:J30)</f>
        <v>0.85</v>
      </c>
      <c r="L30" s="12">
        <f>B30+K30</f>
        <v>4.59</v>
      </c>
    </row>
    <row r="31" spans="1:16" ht="20.149999999999999" customHeight="1" x14ac:dyDescent="0.45">
      <c r="A31" s="9" t="s">
        <v>15</v>
      </c>
      <c r="B31" s="16">
        <v>32.39</v>
      </c>
      <c r="C31" s="12">
        <v>5.17</v>
      </c>
      <c r="D31" s="5"/>
      <c r="E31" s="5">
        <v>1.0900000000000001</v>
      </c>
      <c r="F31" s="5"/>
      <c r="G31" s="5"/>
      <c r="H31" s="5"/>
      <c r="I31" s="5"/>
      <c r="J31" s="10"/>
      <c r="K31" s="36">
        <f>SUM(C31:J31)</f>
        <v>6.26</v>
      </c>
      <c r="L31" s="12">
        <f t="shared" ref="L31:L33" si="1">B31+K31</f>
        <v>38.65</v>
      </c>
    </row>
    <row r="32" spans="1:16" ht="20.149999999999999" customHeight="1" x14ac:dyDescent="0.45">
      <c r="A32" s="9" t="s">
        <v>16</v>
      </c>
      <c r="B32" s="16">
        <v>95.72</v>
      </c>
      <c r="C32" s="12">
        <v>0.88</v>
      </c>
      <c r="D32" s="5">
        <v>2.06</v>
      </c>
      <c r="E32" s="5">
        <v>8.32</v>
      </c>
      <c r="F32" s="5">
        <v>5.87</v>
      </c>
      <c r="G32" s="5"/>
      <c r="H32" s="5"/>
      <c r="I32" s="5"/>
      <c r="J32" s="10">
        <v>0.25</v>
      </c>
      <c r="K32" s="21">
        <f>SUM(C32:J32)</f>
        <v>17.38</v>
      </c>
      <c r="L32" s="12">
        <f t="shared" si="1"/>
        <v>113.1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24.49</v>
      </c>
      <c r="L34" s="19">
        <f>SUM(L30:L33)</f>
        <v>156.33999999999997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2776.5800000000004</v>
      </c>
      <c r="C40" s="124" t="s">
        <v>45</v>
      </c>
      <c r="D40" s="124"/>
      <c r="E40" s="44">
        <v>1.4300000000000002</v>
      </c>
      <c r="F40" s="33" t="s">
        <v>33</v>
      </c>
      <c r="G40" s="34">
        <v>0.06</v>
      </c>
      <c r="H40" s="39" t="s">
        <v>38</v>
      </c>
      <c r="I40" s="39">
        <f>E40+G40</f>
        <v>1.4900000000000002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1833.31</v>
      </c>
      <c r="C43" s="5">
        <v>268.56</v>
      </c>
      <c r="D43" s="5">
        <v>138.72</v>
      </c>
      <c r="E43" s="5">
        <v>186.54</v>
      </c>
      <c r="F43" s="5">
        <v>48.96</v>
      </c>
      <c r="G43" s="5"/>
      <c r="H43" s="54">
        <v>0.8</v>
      </c>
      <c r="I43" s="5">
        <v>15.41</v>
      </c>
      <c r="J43" s="10">
        <v>22</v>
      </c>
      <c r="K43" s="26">
        <f>SUM(B43:J43)+L34+E37</f>
        <v>2687.27</v>
      </c>
      <c r="L43" s="27">
        <f>B40+H26-H27</f>
        <v>2684.3900000000008</v>
      </c>
      <c r="M43" s="29">
        <f>K43-L43-E40</f>
        <v>1.4499999999991995</v>
      </c>
    </row>
    <row r="44" spans="1:19" ht="20.149999999999999" customHeight="1" x14ac:dyDescent="0.45">
      <c r="M44" s="2">
        <f>M43-I40</f>
        <v>-4.0000000000800728E-2</v>
      </c>
    </row>
    <row r="48" spans="1:19" ht="20.149999999999999" customHeight="1" x14ac:dyDescent="0.45">
      <c r="Q48" s="122" t="s">
        <v>42</v>
      </c>
      <c r="R48" s="56" t="s">
        <v>43</v>
      </c>
      <c r="S48" s="56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56" t="s">
        <v>43</v>
      </c>
      <c r="S52" s="56" t="s">
        <v>40</v>
      </c>
      <c r="T52" s="56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337C-D6B0-4444-90B8-2F66A33675FA}">
  <sheetPr codeName="Sheet17">
    <pageSetUpPr fitToPage="1"/>
  </sheetPr>
  <dimension ref="A1:T53"/>
  <sheetViews>
    <sheetView zoomScaleNormal="100" zoomScaleSheetLayoutView="100" workbookViewId="0">
      <selection activeCell="H30" sqref="H30"/>
    </sheetView>
  </sheetViews>
  <sheetFormatPr defaultColWidth="9" defaultRowHeight="20.149999999999999" customHeight="1" x14ac:dyDescent="0.45"/>
  <cols>
    <col min="1" max="1" width="8.58203125" style="3" customWidth="1"/>
    <col min="2" max="2" width="9.83203125" style="2" bestFit="1" customWidth="1"/>
    <col min="3" max="7" width="8.58203125" style="2" customWidth="1"/>
    <col min="8" max="8" width="10.33203125" style="2" customWidth="1"/>
    <col min="9" max="11" width="8.58203125" style="2" customWidth="1"/>
    <col min="12" max="13" width="9.83203125" style="2" bestFit="1" customWidth="1"/>
    <col min="14" max="14" width="6.25" style="2" customWidth="1"/>
    <col min="15" max="15" width="8.58203125" style="1" customWidth="1"/>
    <col min="16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111.75" customHeight="1" x14ac:dyDescent="0.45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45922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0.06</v>
      </c>
      <c r="C5" s="5">
        <v>2911.66</v>
      </c>
      <c r="D5" s="5">
        <v>940.1</v>
      </c>
      <c r="E5" s="5">
        <v>60.12</v>
      </c>
      <c r="F5" s="5">
        <v>407.82</v>
      </c>
      <c r="G5" s="10">
        <v>3002.06</v>
      </c>
      <c r="H5" s="21">
        <f>SUM(B5:G5)</f>
        <v>7321.82</v>
      </c>
    </row>
    <row r="6" spans="1:14" ht="20.149999999999999" customHeight="1" thickBot="1" x14ac:dyDescent="0.5">
      <c r="A6" s="4" t="s">
        <v>4</v>
      </c>
      <c r="B6" s="5">
        <v>2997.73</v>
      </c>
      <c r="C6" s="5">
        <v>1878.77</v>
      </c>
      <c r="D6" s="5">
        <v>685.77</v>
      </c>
      <c r="E6" s="5">
        <v>3505.66</v>
      </c>
      <c r="F6" s="5">
        <v>173.11</v>
      </c>
      <c r="G6" s="10">
        <v>3122.06</v>
      </c>
      <c r="H6" s="22">
        <f>SUM(B6:G6)</f>
        <v>12363.1</v>
      </c>
    </row>
    <row r="7" spans="1:14" ht="20.149999999999999" customHeight="1" thickBot="1" x14ac:dyDescent="0.5">
      <c r="E7" s="2" t="s">
        <v>63</v>
      </c>
    </row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54.959999999999994</v>
      </c>
      <c r="C9" s="12">
        <v>1.01</v>
      </c>
      <c r="D9" s="5"/>
      <c r="E9" s="5"/>
      <c r="F9" s="5">
        <v>2.48</v>
      </c>
      <c r="G9" s="5"/>
      <c r="H9" s="5"/>
      <c r="I9" s="5"/>
      <c r="J9" s="10"/>
      <c r="K9" s="21">
        <f>SUM(C9:J9)</f>
        <v>3.49</v>
      </c>
      <c r="L9" s="12">
        <f>B9+K9</f>
        <v>58.449999999999996</v>
      </c>
    </row>
    <row r="10" spans="1:14" ht="20.149999999999999" customHeight="1" x14ac:dyDescent="0.45">
      <c r="A10" s="9" t="s">
        <v>15</v>
      </c>
      <c r="B10" s="16">
        <v>304.27999999999997</v>
      </c>
      <c r="C10" s="12">
        <v>20.89</v>
      </c>
      <c r="D10" s="5">
        <v>18.82</v>
      </c>
      <c r="E10" s="5"/>
      <c r="F10" s="5"/>
      <c r="G10" s="5"/>
      <c r="H10" s="5">
        <v>7.58</v>
      </c>
      <c r="I10" s="5"/>
      <c r="J10" s="10"/>
      <c r="K10" s="21">
        <f>SUM(C10:J10)</f>
        <v>47.29</v>
      </c>
      <c r="L10" s="12">
        <f>B10+K10</f>
        <v>351.57</v>
      </c>
    </row>
    <row r="11" spans="1:14" ht="20.149999999999999" customHeight="1" x14ac:dyDescent="0.45">
      <c r="A11" s="9" t="s">
        <v>16</v>
      </c>
      <c r="B11" s="16">
        <v>964.96</v>
      </c>
      <c r="C11" s="12">
        <v>14.41</v>
      </c>
      <c r="D11" s="5">
        <v>26.48</v>
      </c>
      <c r="E11" s="5">
        <v>15.73</v>
      </c>
      <c r="F11" s="5">
        <v>85.44</v>
      </c>
      <c r="G11" s="5">
        <v>10.58</v>
      </c>
      <c r="H11" s="5">
        <v>26.51</v>
      </c>
      <c r="I11" s="5">
        <v>0.37</v>
      </c>
      <c r="J11" s="10">
        <v>7.26</v>
      </c>
      <c r="K11" s="21">
        <f>SUM(C11:J11)</f>
        <v>186.78</v>
      </c>
      <c r="L11" s="12">
        <f>B11+K11</f>
        <v>1151.74</v>
      </c>
    </row>
    <row r="12" spans="1:14" ht="20.149999999999999" customHeight="1" thickBot="1" x14ac:dyDescent="0.5">
      <c r="A12" s="32" t="s">
        <v>11</v>
      </c>
      <c r="B12" s="18">
        <f t="shared" ref="B12:L12" si="0">SUM(B9:B11)</f>
        <v>1324.2</v>
      </c>
      <c r="C12" s="19">
        <f t="shared" si="0"/>
        <v>36.31</v>
      </c>
      <c r="D12" s="8">
        <f t="shared" si="0"/>
        <v>45.3</v>
      </c>
      <c r="E12" s="8">
        <f t="shared" si="0"/>
        <v>15.73</v>
      </c>
      <c r="F12" s="8">
        <f t="shared" si="0"/>
        <v>87.92</v>
      </c>
      <c r="G12" s="8">
        <f t="shared" si="0"/>
        <v>10.58</v>
      </c>
      <c r="H12" s="8">
        <f t="shared" si="0"/>
        <v>34.090000000000003</v>
      </c>
      <c r="I12" s="8">
        <f t="shared" si="0"/>
        <v>0.37</v>
      </c>
      <c r="J12" s="8">
        <f t="shared" si="0"/>
        <v>7.26</v>
      </c>
      <c r="K12" s="23">
        <f t="shared" si="0"/>
        <v>237.56</v>
      </c>
      <c r="L12" s="19">
        <f t="shared" si="0"/>
        <v>1561.76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212.3</v>
      </c>
      <c r="C15" s="12"/>
      <c r="D15" s="10">
        <v>162.72</v>
      </c>
      <c r="E15" s="22">
        <f>B15+C15-D15</f>
        <v>49.580000000000013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20133.82</v>
      </c>
      <c r="C18" s="124" t="s">
        <v>45</v>
      </c>
      <c r="D18" s="124"/>
      <c r="E18" s="44">
        <v>8.8800000000000026</v>
      </c>
      <c r="F18" s="33" t="s">
        <v>33</v>
      </c>
      <c r="G18" s="34"/>
      <c r="H18" s="39" t="s">
        <v>38</v>
      </c>
      <c r="I18" s="39">
        <f>E18+G18</f>
        <v>8.8800000000000026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>
        <v>3500</v>
      </c>
      <c r="J19" s="8"/>
      <c r="K19" s="15"/>
      <c r="L19" s="15"/>
      <c r="M19" s="8"/>
      <c r="N19" s="15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48</v>
      </c>
      <c r="K20" s="9" t="s">
        <v>17</v>
      </c>
      <c r="L20" s="24" t="s">
        <v>30</v>
      </c>
      <c r="M20" s="25" t="s">
        <v>31</v>
      </c>
      <c r="N20" s="28" t="s">
        <v>32</v>
      </c>
      <c r="O20" s="2"/>
    </row>
    <row r="21" spans="1:16" ht="20.149999999999999" customHeight="1" thickBot="1" x14ac:dyDescent="0.5">
      <c r="A21" s="4" t="s">
        <v>28</v>
      </c>
      <c r="B21" s="5">
        <f>C19+D19+E19+F19-I19-J19-K19-L19</f>
        <v>9578.8799999999992</v>
      </c>
      <c r="C21" s="5">
        <v>1830.18</v>
      </c>
      <c r="D21" s="5">
        <v>661.65</v>
      </c>
      <c r="E21" s="5">
        <v>85.08</v>
      </c>
      <c r="F21" s="5">
        <v>546.01</v>
      </c>
      <c r="G21" s="5">
        <v>0.46</v>
      </c>
      <c r="H21" s="5">
        <v>8.41</v>
      </c>
      <c r="I21" s="5"/>
      <c r="J21" s="5">
        <v>167.8</v>
      </c>
      <c r="K21" s="10">
        <v>63</v>
      </c>
      <c r="L21" s="26">
        <f>B21+C21+D21+E21+F21+G21+H21+J21+K21+L12+E15+I21</f>
        <v>14552.809999999998</v>
      </c>
      <c r="M21" s="27">
        <f>B18+H5-H6</f>
        <v>15092.539999999999</v>
      </c>
      <c r="N21" s="29">
        <f>L21-M21-G18</f>
        <v>-539.73000000000138</v>
      </c>
      <c r="O21" s="2"/>
    </row>
    <row r="22" spans="1:16" ht="20.149999999999999" customHeight="1" x14ac:dyDescent="0.45">
      <c r="M22" s="53"/>
      <c r="N22" s="53">
        <f>N21-I18</f>
        <v>-548.61000000000138</v>
      </c>
      <c r="O22" s="2"/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7.0000000000000007E-2</v>
      </c>
      <c r="C26" s="5">
        <v>406.94</v>
      </c>
      <c r="D26" s="5">
        <v>268.89999999999998</v>
      </c>
      <c r="E26" s="5"/>
      <c r="F26" s="5">
        <v>54.9</v>
      </c>
      <c r="G26" s="10">
        <v>276.82</v>
      </c>
      <c r="H26" s="21">
        <f>SUM(B26:G26)</f>
        <v>1007.6299999999999</v>
      </c>
    </row>
    <row r="27" spans="1:16" ht="20.149999999999999" customHeight="1" thickBot="1" x14ac:dyDescent="0.5">
      <c r="A27" s="4" t="s">
        <v>4</v>
      </c>
      <c r="B27" s="5">
        <v>259.74</v>
      </c>
      <c r="C27" s="5">
        <v>180.59</v>
      </c>
      <c r="D27" s="5">
        <v>126.66</v>
      </c>
      <c r="E27" s="5"/>
      <c r="F27" s="5">
        <v>58.34</v>
      </c>
      <c r="G27" s="10">
        <v>209.89</v>
      </c>
      <c r="H27" s="22">
        <f>SUM(B27:G27)</f>
        <v>835.22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4.59</v>
      </c>
      <c r="C30" s="12">
        <v>0.49</v>
      </c>
      <c r="D30" s="5"/>
      <c r="E30" s="5">
        <v>0.76</v>
      </c>
      <c r="F30" s="5"/>
      <c r="G30" s="5"/>
      <c r="H30" s="5"/>
      <c r="I30" s="5"/>
      <c r="J30" s="10"/>
      <c r="K30" s="21">
        <f>SUM(C30:J30)</f>
        <v>1.25</v>
      </c>
      <c r="L30" s="12">
        <f>B30+K30</f>
        <v>5.84</v>
      </c>
    </row>
    <row r="31" spans="1:16" ht="20.149999999999999" customHeight="1" x14ac:dyDescent="0.45">
      <c r="A31" s="9" t="s">
        <v>15</v>
      </c>
      <c r="B31" s="16">
        <v>38.65</v>
      </c>
      <c r="C31" s="12">
        <v>4.76</v>
      </c>
      <c r="D31" s="5"/>
      <c r="E31" s="5"/>
      <c r="F31" s="5">
        <v>2.9</v>
      </c>
      <c r="G31" s="5"/>
      <c r="H31" s="5"/>
      <c r="I31" s="5"/>
      <c r="J31" s="10"/>
      <c r="K31" s="36">
        <f>SUM(C31:J31)</f>
        <v>7.66</v>
      </c>
      <c r="L31" s="12">
        <f t="shared" ref="L31:L33" si="1">B31+K31</f>
        <v>46.31</v>
      </c>
    </row>
    <row r="32" spans="1:16" ht="20.149999999999999" customHeight="1" x14ac:dyDescent="0.45">
      <c r="A32" s="9" t="s">
        <v>16</v>
      </c>
      <c r="B32" s="16">
        <v>113.1</v>
      </c>
      <c r="C32" s="12">
        <v>6.3</v>
      </c>
      <c r="D32" s="5">
        <v>3.13</v>
      </c>
      <c r="E32" s="5">
        <v>15.54</v>
      </c>
      <c r="F32" s="5">
        <v>4.1900000000000004</v>
      </c>
      <c r="G32" s="5"/>
      <c r="H32" s="5"/>
      <c r="I32" s="5"/>
      <c r="J32" s="10">
        <v>0.4</v>
      </c>
      <c r="K32" s="21">
        <f>SUM(C32:J32)</f>
        <v>29.56</v>
      </c>
      <c r="L32" s="12">
        <f t="shared" si="1"/>
        <v>142.66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38.47</v>
      </c>
      <c r="L34" s="19">
        <f>SUM(L30:L33)</f>
        <v>194.81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2684.3900000000008</v>
      </c>
      <c r="C40" s="124" t="s">
        <v>45</v>
      </c>
      <c r="D40" s="124"/>
      <c r="E40" s="44">
        <v>1.4900000000000002</v>
      </c>
      <c r="F40" s="33" t="s">
        <v>33</v>
      </c>
      <c r="G40" s="34"/>
      <c r="H40" s="39" t="s">
        <v>38</v>
      </c>
      <c r="I40" s="39">
        <f>E40+G40</f>
        <v>1.4900000000000002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1833.31</v>
      </c>
      <c r="C43" s="5">
        <v>255.23</v>
      </c>
      <c r="D43" s="5">
        <v>233.8</v>
      </c>
      <c r="E43" s="5"/>
      <c r="F43" s="5">
        <v>81.069999999999993</v>
      </c>
      <c r="G43" s="5">
        <v>0.01</v>
      </c>
      <c r="H43" s="54">
        <v>1.2</v>
      </c>
      <c r="I43" s="5">
        <v>15.41</v>
      </c>
      <c r="J43" s="10">
        <v>22</v>
      </c>
      <c r="K43" s="26">
        <f>SUM(B43:J43)+L34+E37</f>
        <v>2653.4700000000003</v>
      </c>
      <c r="L43" s="27">
        <f>B40+H26-H27</f>
        <v>2856.8</v>
      </c>
      <c r="M43" s="29">
        <f>K43-L43-E40</f>
        <v>-204.81999999999994</v>
      </c>
    </row>
    <row r="44" spans="1:19" ht="20.149999999999999" customHeight="1" x14ac:dyDescent="0.45">
      <c r="M44" s="2">
        <f>M43-I40</f>
        <v>-206.30999999999995</v>
      </c>
    </row>
    <row r="48" spans="1:19" ht="20.149999999999999" customHeight="1" x14ac:dyDescent="0.45">
      <c r="Q48" s="122" t="s">
        <v>42</v>
      </c>
      <c r="R48" s="59" t="s">
        <v>43</v>
      </c>
      <c r="S48" s="59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59" t="s">
        <v>43</v>
      </c>
      <c r="S52" s="59" t="s">
        <v>40</v>
      </c>
      <c r="T52" s="59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390FB-97ED-4263-B126-C8B737454B8F}">
  <sheetPr codeName="Sheet15">
    <pageSetUpPr fitToPage="1"/>
  </sheetPr>
  <dimension ref="A1:T53"/>
  <sheetViews>
    <sheetView zoomScaleNormal="100" zoomScaleSheetLayoutView="100" workbookViewId="0">
      <selection activeCell="P16" sqref="P16"/>
    </sheetView>
  </sheetViews>
  <sheetFormatPr defaultColWidth="9" defaultRowHeight="20.149999999999999" customHeight="1" x14ac:dyDescent="0.45"/>
  <cols>
    <col min="1" max="1" width="8.58203125" style="3" customWidth="1"/>
    <col min="2" max="2" width="9.83203125" style="2" bestFit="1" customWidth="1"/>
    <col min="3" max="11" width="8.58203125" style="2" customWidth="1"/>
    <col min="12" max="13" width="9.83203125" style="2" bestFit="1" customWidth="1"/>
    <col min="14" max="14" width="6.25" style="2" customWidth="1"/>
    <col min="15" max="15" width="8.58203125" style="1" customWidth="1"/>
    <col min="16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111.75" customHeight="1" x14ac:dyDescent="0.45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45918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1</v>
      </c>
      <c r="C5" s="5">
        <v>3168.58</v>
      </c>
      <c r="D5" s="5">
        <v>1741.92</v>
      </c>
      <c r="E5" s="5">
        <v>28.87</v>
      </c>
      <c r="F5" s="5">
        <v>361.12</v>
      </c>
      <c r="G5" s="10">
        <v>1721.19</v>
      </c>
      <c r="H5" s="21">
        <f>SUM(B5:G5)</f>
        <v>7022.68</v>
      </c>
    </row>
    <row r="6" spans="1:14" ht="20.149999999999999" customHeight="1" thickBot="1" x14ac:dyDescent="0.5">
      <c r="A6" s="4" t="s">
        <v>4</v>
      </c>
      <c r="B6" s="5">
        <v>1724.15</v>
      </c>
      <c r="C6" s="5">
        <v>1178.1600000000001</v>
      </c>
      <c r="D6" s="5">
        <v>1354.01</v>
      </c>
      <c r="E6" s="5">
        <v>9.1199999999999992</v>
      </c>
      <c r="F6" s="5">
        <v>301.08</v>
      </c>
      <c r="G6" s="10">
        <v>2664.5</v>
      </c>
      <c r="H6" s="22">
        <f>SUM(B6:G6)</f>
        <v>7231.02</v>
      </c>
    </row>
    <row r="7" spans="1:14" ht="20.149999999999999" customHeight="1" thickBot="1" x14ac:dyDescent="0.5"/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54.959999999999994</v>
      </c>
      <c r="C9" s="12">
        <v>2.0699999999999998</v>
      </c>
      <c r="D9" s="5"/>
      <c r="E9" s="5"/>
      <c r="F9" s="5">
        <v>4.79</v>
      </c>
      <c r="G9" s="5"/>
      <c r="H9" s="5"/>
      <c r="I9" s="5"/>
      <c r="J9" s="10"/>
      <c r="K9" s="21">
        <f>SUM(C9:J9)</f>
        <v>6.8599999999999994</v>
      </c>
      <c r="L9" s="12">
        <f>B9+K9</f>
        <v>61.819999999999993</v>
      </c>
    </row>
    <row r="10" spans="1:14" ht="20.149999999999999" customHeight="1" x14ac:dyDescent="0.45">
      <c r="A10" s="9" t="s">
        <v>15</v>
      </c>
      <c r="B10" s="16">
        <v>304.27999999999997</v>
      </c>
      <c r="C10" s="12">
        <v>32.979999999999997</v>
      </c>
      <c r="D10" s="5">
        <v>15.1</v>
      </c>
      <c r="E10" s="5"/>
      <c r="F10" s="5"/>
      <c r="G10" s="5"/>
      <c r="H10" s="5">
        <v>16.63</v>
      </c>
      <c r="I10" s="5"/>
      <c r="J10" s="10"/>
      <c r="K10" s="21">
        <f>SUM(C10:J10)</f>
        <v>64.709999999999994</v>
      </c>
      <c r="L10" s="12">
        <f>B10+K10</f>
        <v>368.98999999999995</v>
      </c>
    </row>
    <row r="11" spans="1:14" ht="20.149999999999999" customHeight="1" x14ac:dyDescent="0.45">
      <c r="A11" s="9" t="s">
        <v>16</v>
      </c>
      <c r="B11" s="16">
        <v>964.96</v>
      </c>
      <c r="C11" s="12">
        <v>15.9</v>
      </c>
      <c r="D11" s="5">
        <v>31.81</v>
      </c>
      <c r="E11" s="5">
        <v>13.65</v>
      </c>
      <c r="F11" s="5">
        <v>4.9400000000000004</v>
      </c>
      <c r="G11" s="5">
        <v>3.32</v>
      </c>
      <c r="H11" s="5">
        <v>60.05</v>
      </c>
      <c r="I11" s="5">
        <v>1.05</v>
      </c>
      <c r="J11" s="10">
        <v>8.7799999999999994</v>
      </c>
      <c r="K11" s="21">
        <f>SUM(C11:J11)</f>
        <v>139.5</v>
      </c>
      <c r="L11" s="12">
        <f>B11+K11</f>
        <v>1104.46</v>
      </c>
    </row>
    <row r="12" spans="1:14" ht="20.149999999999999" customHeight="1" thickBot="1" x14ac:dyDescent="0.5">
      <c r="A12" s="32" t="s">
        <v>11</v>
      </c>
      <c r="B12" s="18">
        <f t="shared" ref="B12:L12" si="0">SUM(B9:B11)</f>
        <v>1324.2</v>
      </c>
      <c r="C12" s="19">
        <f t="shared" si="0"/>
        <v>50.949999999999996</v>
      </c>
      <c r="D12" s="8">
        <f t="shared" si="0"/>
        <v>46.91</v>
      </c>
      <c r="E12" s="8">
        <f t="shared" si="0"/>
        <v>13.65</v>
      </c>
      <c r="F12" s="8">
        <f t="shared" si="0"/>
        <v>9.73</v>
      </c>
      <c r="G12" s="8">
        <f t="shared" si="0"/>
        <v>3.32</v>
      </c>
      <c r="H12" s="8">
        <f t="shared" si="0"/>
        <v>76.679999999999993</v>
      </c>
      <c r="I12" s="8">
        <f t="shared" si="0"/>
        <v>1.05</v>
      </c>
      <c r="J12" s="8">
        <f t="shared" si="0"/>
        <v>8.7799999999999994</v>
      </c>
      <c r="K12" s="23">
        <f t="shared" si="0"/>
        <v>211.07</v>
      </c>
      <c r="L12" s="19">
        <f t="shared" si="0"/>
        <v>1535.27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212.3</v>
      </c>
      <c r="C15" s="12"/>
      <c r="D15" s="10"/>
      <c r="E15" s="22">
        <f>B15+C15-D15</f>
        <v>212.3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20133.82</v>
      </c>
      <c r="C18" s="124" t="s">
        <v>45</v>
      </c>
      <c r="D18" s="124"/>
      <c r="E18" s="44">
        <v>8.8800000000000026</v>
      </c>
      <c r="F18" s="33" t="s">
        <v>33</v>
      </c>
      <c r="G18" s="34">
        <v>2.14</v>
      </c>
      <c r="H18" s="39" t="s">
        <v>38</v>
      </c>
      <c r="I18" s="39">
        <f>E18+G18</f>
        <v>11.020000000000003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  <c r="N19" s="15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48</v>
      </c>
      <c r="K20" s="9" t="s">
        <v>17</v>
      </c>
      <c r="L20" s="24" t="s">
        <v>30</v>
      </c>
      <c r="M20" s="25" t="s">
        <v>31</v>
      </c>
      <c r="N20" s="28" t="s">
        <v>32</v>
      </c>
      <c r="O20" s="2"/>
    </row>
    <row r="21" spans="1:16" ht="20.149999999999999" customHeight="1" thickBot="1" x14ac:dyDescent="0.5">
      <c r="A21" s="4" t="s">
        <v>28</v>
      </c>
      <c r="B21" s="5">
        <f>C19+D19+E19+F19-I19-J19-K19-L19</f>
        <v>13078.88</v>
      </c>
      <c r="C21" s="5">
        <v>1944.79</v>
      </c>
      <c r="D21" s="5">
        <v>1675.37</v>
      </c>
      <c r="E21" s="5">
        <v>442.07</v>
      </c>
      <c r="F21" s="5">
        <v>820.47</v>
      </c>
      <c r="G21" s="5">
        <v>0.21</v>
      </c>
      <c r="H21" s="5">
        <v>1.72</v>
      </c>
      <c r="I21" s="5">
        <v>3.55</v>
      </c>
      <c r="J21" s="5">
        <v>167.8</v>
      </c>
      <c r="K21" s="10">
        <v>63</v>
      </c>
      <c r="L21" s="26">
        <f>B21+C21+D21+E21+F21+G21+H21+J21+K21+L12+E15+I21</f>
        <v>19945.429999999997</v>
      </c>
      <c r="M21" s="27">
        <f>B18+H5-H6</f>
        <v>19925.48</v>
      </c>
      <c r="N21" s="29">
        <f>L21-M21-G18</f>
        <v>17.809999999997089</v>
      </c>
      <c r="O21" s="2"/>
    </row>
    <row r="22" spans="1:16" ht="20.149999999999999" customHeight="1" x14ac:dyDescent="0.45">
      <c r="M22" s="53"/>
      <c r="N22" s="53">
        <f>N21-I18</f>
        <v>6.7899999999970859</v>
      </c>
      <c r="O22" s="2"/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/>
      <c r="C26" s="5">
        <v>513.1</v>
      </c>
      <c r="D26" s="5">
        <v>83.9</v>
      </c>
      <c r="E26" s="5"/>
      <c r="F26" s="5">
        <v>61.5</v>
      </c>
      <c r="G26" s="10">
        <v>213.71</v>
      </c>
      <c r="H26" s="21">
        <f>SUM(B26:G26)</f>
        <v>872.21</v>
      </c>
    </row>
    <row r="27" spans="1:16" ht="20.149999999999999" customHeight="1" thickBot="1" x14ac:dyDescent="0.5">
      <c r="A27" s="4" t="s">
        <v>4</v>
      </c>
      <c r="B27" s="5">
        <v>214.03</v>
      </c>
      <c r="C27" s="5">
        <v>264.20999999999998</v>
      </c>
      <c r="D27" s="5">
        <v>62.6</v>
      </c>
      <c r="E27" s="5"/>
      <c r="F27" s="5">
        <v>5.73</v>
      </c>
      <c r="G27" s="10">
        <v>304.44</v>
      </c>
      <c r="H27" s="22">
        <f>SUM(B27:G27)</f>
        <v>851.01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4.59</v>
      </c>
      <c r="C30" s="12"/>
      <c r="D30" s="5"/>
      <c r="E30" s="5">
        <v>0.15</v>
      </c>
      <c r="F30" s="5"/>
      <c r="G30" s="5"/>
      <c r="H30" s="5"/>
      <c r="I30" s="5"/>
      <c r="J30" s="10"/>
      <c r="K30" s="21">
        <f>SUM(C30:J30)</f>
        <v>0.15</v>
      </c>
      <c r="L30" s="12">
        <f>B30+K30</f>
        <v>4.74</v>
      </c>
    </row>
    <row r="31" spans="1:16" ht="20.149999999999999" customHeight="1" x14ac:dyDescent="0.45">
      <c r="A31" s="9" t="s">
        <v>15</v>
      </c>
      <c r="B31" s="16">
        <v>38.65</v>
      </c>
      <c r="C31" s="12">
        <v>6.51</v>
      </c>
      <c r="D31" s="5"/>
      <c r="E31" s="5">
        <v>0.2</v>
      </c>
      <c r="F31" s="5"/>
      <c r="G31" s="5"/>
      <c r="H31" s="5"/>
      <c r="I31" s="5"/>
      <c r="J31" s="10"/>
      <c r="K31" s="36">
        <f>SUM(C31:J31)</f>
        <v>6.71</v>
      </c>
      <c r="L31" s="12">
        <f t="shared" ref="L31:L33" si="1">B31+K31</f>
        <v>45.36</v>
      </c>
    </row>
    <row r="32" spans="1:16" ht="20.149999999999999" customHeight="1" x14ac:dyDescent="0.45">
      <c r="A32" s="9" t="s">
        <v>16</v>
      </c>
      <c r="B32" s="16">
        <v>113.1</v>
      </c>
      <c r="C32" s="12">
        <v>4.03</v>
      </c>
      <c r="D32" s="5">
        <v>0.59</v>
      </c>
      <c r="E32" s="5">
        <v>1.94</v>
      </c>
      <c r="F32" s="5">
        <v>3.04</v>
      </c>
      <c r="G32" s="5"/>
      <c r="H32" s="5"/>
      <c r="I32" s="5"/>
      <c r="J32" s="10">
        <v>0.8</v>
      </c>
      <c r="K32" s="21">
        <f>SUM(C32:J32)</f>
        <v>10.400000000000002</v>
      </c>
      <c r="L32" s="12">
        <f t="shared" si="1"/>
        <v>123.5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17.260000000000002</v>
      </c>
      <c r="L34" s="19">
        <f>SUM(L30:L33)</f>
        <v>173.6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  <c r="K37" s="2" t="s">
        <v>62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2684.3900000000008</v>
      </c>
      <c r="C40" s="124" t="s">
        <v>45</v>
      </c>
      <c r="D40" s="124"/>
      <c r="E40" s="44">
        <v>1.4900000000000002</v>
      </c>
      <c r="F40" s="33" t="s">
        <v>33</v>
      </c>
      <c r="G40" s="34">
        <v>0.17</v>
      </c>
      <c r="H40" s="39" t="s">
        <v>38</v>
      </c>
      <c r="I40" s="39">
        <f>E40+G40</f>
        <v>1.6600000000000001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1833.31</v>
      </c>
      <c r="C43" s="5">
        <v>209.29</v>
      </c>
      <c r="D43" s="5">
        <v>160.27000000000001</v>
      </c>
      <c r="E43" s="5">
        <v>268.44</v>
      </c>
      <c r="F43" s="5">
        <v>10.42</v>
      </c>
      <c r="G43" s="5">
        <v>0.08</v>
      </c>
      <c r="H43" s="54">
        <v>0.54</v>
      </c>
      <c r="I43" s="5">
        <v>15.41</v>
      </c>
      <c r="J43" s="10">
        <v>22</v>
      </c>
      <c r="K43" s="26">
        <f>SUM(B43:J43)+L34+E37</f>
        <v>2709.99</v>
      </c>
      <c r="L43" s="27">
        <f>B40+H26-H27</f>
        <v>2705.5900000000011</v>
      </c>
      <c r="M43" s="29">
        <f>K43-L43-E40</f>
        <v>2.9099999999987265</v>
      </c>
    </row>
    <row r="44" spans="1:19" ht="20.149999999999999" customHeight="1" x14ac:dyDescent="0.45">
      <c r="M44" s="2">
        <f>M43-I40</f>
        <v>1.2499999999987264</v>
      </c>
    </row>
    <row r="48" spans="1:19" ht="20.149999999999999" customHeight="1" x14ac:dyDescent="0.45">
      <c r="Q48" s="122" t="s">
        <v>42</v>
      </c>
      <c r="R48" s="57" t="s">
        <v>43</v>
      </c>
      <c r="S48" s="57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57" t="s">
        <v>43</v>
      </c>
      <c r="S52" s="57" t="s">
        <v>40</v>
      </c>
      <c r="T52" s="57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5E339-952A-4954-865D-A35D0C24C610}">
  <sheetPr codeName="Sheet16">
    <pageSetUpPr fitToPage="1"/>
  </sheetPr>
  <dimension ref="A1:T53"/>
  <sheetViews>
    <sheetView zoomScaleNormal="100" zoomScaleSheetLayoutView="100" workbookViewId="0">
      <selection activeCell="O25" sqref="O25"/>
    </sheetView>
  </sheetViews>
  <sheetFormatPr defaultColWidth="9" defaultRowHeight="20.149999999999999" customHeight="1" x14ac:dyDescent="0.45"/>
  <cols>
    <col min="1" max="1" width="8.58203125" style="3" customWidth="1"/>
    <col min="2" max="2" width="9.83203125" style="2" bestFit="1" customWidth="1"/>
    <col min="3" max="11" width="8.58203125" style="2" customWidth="1"/>
    <col min="12" max="13" width="9.83203125" style="2" bestFit="1" customWidth="1"/>
    <col min="14" max="14" width="6.25" style="2" customWidth="1"/>
    <col min="15" max="15" width="8.58203125" style="1" customWidth="1"/>
    <col min="16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111.75" customHeight="1" x14ac:dyDescent="0.45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45919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1.1100000000000001</v>
      </c>
      <c r="C5" s="5">
        <v>3190.69</v>
      </c>
      <c r="D5" s="5">
        <v>1550.75</v>
      </c>
      <c r="E5" s="5">
        <v>75.23</v>
      </c>
      <c r="F5" s="5">
        <v>587.01</v>
      </c>
      <c r="G5" s="10">
        <v>3251.24</v>
      </c>
      <c r="H5" s="21">
        <f>SUM(B5:G5)</f>
        <v>8656.0299999999988</v>
      </c>
    </row>
    <row r="6" spans="1:14" ht="20.149999999999999" customHeight="1" thickBot="1" x14ac:dyDescent="0.5">
      <c r="A6" s="4" t="s">
        <v>4</v>
      </c>
      <c r="B6" s="5">
        <v>3280.4</v>
      </c>
      <c r="C6" s="5">
        <v>1252.57</v>
      </c>
      <c r="D6" s="5">
        <v>1010.26</v>
      </c>
      <c r="E6" s="5">
        <v>9.2899999999999991</v>
      </c>
      <c r="F6" s="5">
        <v>597.88</v>
      </c>
      <c r="G6" s="10">
        <v>2426.29</v>
      </c>
      <c r="H6" s="22">
        <f>SUM(B6:G6)</f>
        <v>8576.69</v>
      </c>
    </row>
    <row r="7" spans="1:14" ht="20.149999999999999" customHeight="1" thickBot="1" x14ac:dyDescent="0.5"/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61.819999999999993</v>
      </c>
      <c r="C9" s="12">
        <v>1.86</v>
      </c>
      <c r="D9" s="5"/>
      <c r="E9" s="5"/>
      <c r="F9" s="5">
        <v>4.03</v>
      </c>
      <c r="G9" s="5"/>
      <c r="H9" s="5"/>
      <c r="I9" s="5"/>
      <c r="J9" s="10"/>
      <c r="K9" s="21">
        <f>SUM(C9:J9)</f>
        <v>5.8900000000000006</v>
      </c>
      <c r="L9" s="12">
        <f>B9+K9</f>
        <v>67.709999999999994</v>
      </c>
    </row>
    <row r="10" spans="1:14" ht="20.149999999999999" customHeight="1" x14ac:dyDescent="0.45">
      <c r="A10" s="9" t="s">
        <v>15</v>
      </c>
      <c r="B10" s="16">
        <v>368.98999999999995</v>
      </c>
      <c r="C10" s="12">
        <v>20.82</v>
      </c>
      <c r="D10" s="5">
        <v>30.54</v>
      </c>
      <c r="E10" s="5"/>
      <c r="F10" s="5"/>
      <c r="G10" s="5"/>
      <c r="H10" s="5">
        <v>13.53</v>
      </c>
      <c r="I10" s="5"/>
      <c r="J10" s="10"/>
      <c r="K10" s="21">
        <f>SUM(C10:J10)</f>
        <v>64.89</v>
      </c>
      <c r="L10" s="12">
        <f>B10+K10</f>
        <v>433.87999999999994</v>
      </c>
    </row>
    <row r="11" spans="1:14" ht="20.149999999999999" customHeight="1" x14ac:dyDescent="0.45">
      <c r="A11" s="9" t="s">
        <v>16</v>
      </c>
      <c r="B11" s="16">
        <v>1104.46</v>
      </c>
      <c r="C11" s="12">
        <v>16.850000000000001</v>
      </c>
      <c r="D11" s="5">
        <v>21.85</v>
      </c>
      <c r="E11" s="5">
        <v>28.92</v>
      </c>
      <c r="F11" s="5">
        <v>41.89</v>
      </c>
      <c r="G11" s="5">
        <v>9.2899999999999991</v>
      </c>
      <c r="H11" s="5">
        <v>30.16</v>
      </c>
      <c r="I11" s="5"/>
      <c r="J11" s="10">
        <v>5.48</v>
      </c>
      <c r="K11" s="21">
        <f>SUM(C11:J11)</f>
        <v>154.44</v>
      </c>
      <c r="L11" s="12">
        <f>B11+K11</f>
        <v>1258.9000000000001</v>
      </c>
    </row>
    <row r="12" spans="1:14" ht="20.149999999999999" customHeight="1" thickBot="1" x14ac:dyDescent="0.5">
      <c r="A12" s="32" t="s">
        <v>11</v>
      </c>
      <c r="B12" s="18">
        <f t="shared" ref="B12:L12" si="0">SUM(B9:B11)</f>
        <v>1535.27</v>
      </c>
      <c r="C12" s="19">
        <f t="shared" si="0"/>
        <v>39.53</v>
      </c>
      <c r="D12" s="8">
        <f t="shared" si="0"/>
        <v>52.39</v>
      </c>
      <c r="E12" s="8">
        <f t="shared" si="0"/>
        <v>28.92</v>
      </c>
      <c r="F12" s="8">
        <f t="shared" si="0"/>
        <v>45.92</v>
      </c>
      <c r="G12" s="8">
        <f t="shared" si="0"/>
        <v>9.2899999999999991</v>
      </c>
      <c r="H12" s="8">
        <f t="shared" si="0"/>
        <v>43.69</v>
      </c>
      <c r="I12" s="8">
        <f t="shared" si="0"/>
        <v>0</v>
      </c>
      <c r="J12" s="8">
        <f t="shared" si="0"/>
        <v>5.48</v>
      </c>
      <c r="K12" s="23">
        <f t="shared" si="0"/>
        <v>225.22</v>
      </c>
      <c r="L12" s="19">
        <f t="shared" si="0"/>
        <v>1760.49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212.3</v>
      </c>
      <c r="C15" s="12"/>
      <c r="D15" s="10"/>
      <c r="E15" s="22">
        <f>B15+C15-D15</f>
        <v>212.3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19925.48</v>
      </c>
      <c r="C18" s="124" t="s">
        <v>45</v>
      </c>
      <c r="D18" s="124"/>
      <c r="E18" s="44">
        <v>11.020000000000003</v>
      </c>
      <c r="F18" s="33" t="s">
        <v>33</v>
      </c>
      <c r="G18" s="34">
        <v>3.31</v>
      </c>
      <c r="H18" s="39" t="s">
        <v>38</v>
      </c>
      <c r="I18" s="39">
        <f>E18+G18</f>
        <v>14.330000000000004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  <c r="N19" s="15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48</v>
      </c>
      <c r="K20" s="9" t="s">
        <v>17</v>
      </c>
      <c r="L20" s="24" t="s">
        <v>30</v>
      </c>
      <c r="M20" s="25" t="s">
        <v>31</v>
      </c>
      <c r="N20" s="28" t="s">
        <v>32</v>
      </c>
      <c r="O20" s="2"/>
    </row>
    <row r="21" spans="1:16" ht="20.149999999999999" customHeight="1" thickBot="1" x14ac:dyDescent="0.5">
      <c r="A21" s="4" t="s">
        <v>28</v>
      </c>
      <c r="B21" s="5">
        <f>C19+D19+E19+F19-I19-J19-K19-L19</f>
        <v>13078.88</v>
      </c>
      <c r="C21" s="5">
        <v>2166.63</v>
      </c>
      <c r="D21" s="5">
        <v>1633.22</v>
      </c>
      <c r="E21" s="5">
        <v>283.94</v>
      </c>
      <c r="F21" s="5">
        <v>653.84</v>
      </c>
      <c r="G21" s="5">
        <v>0.38</v>
      </c>
      <c r="H21" s="5">
        <v>1.57</v>
      </c>
      <c r="I21" s="5">
        <v>5.31</v>
      </c>
      <c r="J21" s="5">
        <v>167.8</v>
      </c>
      <c r="K21" s="10">
        <v>63</v>
      </c>
      <c r="L21" s="26">
        <f>B21+C21+D21+E21+F21+G21+H21+J21+K21+L12+E15+I21</f>
        <v>20027.36</v>
      </c>
      <c r="M21" s="27">
        <f>B18+H5-H6</f>
        <v>20004.82</v>
      </c>
      <c r="N21" s="29">
        <f>L21-M21-G18</f>
        <v>19.230000000000874</v>
      </c>
      <c r="O21" s="2"/>
    </row>
    <row r="22" spans="1:16" ht="20.149999999999999" customHeight="1" x14ac:dyDescent="0.45">
      <c r="M22" s="53"/>
      <c r="N22" s="53">
        <f>N21-I18</f>
        <v>4.9000000000008708</v>
      </c>
      <c r="O22" s="2"/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0.3</v>
      </c>
      <c r="C26" s="5">
        <v>227.12</v>
      </c>
      <c r="D26" s="5">
        <v>232.31</v>
      </c>
      <c r="E26" s="5"/>
      <c r="F26" s="5">
        <v>42.3</v>
      </c>
      <c r="G26" s="10">
        <v>203.56</v>
      </c>
      <c r="H26" s="21">
        <f>SUM(B26:G26)</f>
        <v>705.59</v>
      </c>
    </row>
    <row r="27" spans="1:16" ht="20.149999999999999" customHeight="1" thickBot="1" x14ac:dyDescent="0.5">
      <c r="A27" s="4" t="s">
        <v>4</v>
      </c>
      <c r="B27" s="5">
        <v>206.84</v>
      </c>
      <c r="C27" s="5">
        <v>344.06</v>
      </c>
      <c r="D27" s="5">
        <v>81.33</v>
      </c>
      <c r="E27" s="5"/>
      <c r="F27" s="5">
        <v>42.71</v>
      </c>
      <c r="G27" s="10">
        <v>209.52</v>
      </c>
      <c r="H27" s="22">
        <f>SUM(B27:G27)</f>
        <v>884.46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4.74</v>
      </c>
      <c r="C30" s="12">
        <v>0.37</v>
      </c>
      <c r="D30" s="5"/>
      <c r="E30" s="5">
        <v>0.17</v>
      </c>
      <c r="F30" s="5"/>
      <c r="G30" s="5"/>
      <c r="H30" s="5"/>
      <c r="I30" s="5"/>
      <c r="J30" s="10"/>
      <c r="K30" s="21">
        <f>SUM(C30:J30)</f>
        <v>0.54</v>
      </c>
      <c r="L30" s="12">
        <f>B30+K30</f>
        <v>5.28</v>
      </c>
    </row>
    <row r="31" spans="1:16" ht="20.149999999999999" customHeight="1" x14ac:dyDescent="0.45">
      <c r="A31" s="9" t="s">
        <v>15</v>
      </c>
      <c r="B31" s="16">
        <v>45.36</v>
      </c>
      <c r="C31" s="12">
        <v>2.62</v>
      </c>
      <c r="D31" s="5"/>
      <c r="E31" s="5">
        <v>3.48</v>
      </c>
      <c r="F31" s="5"/>
      <c r="G31" s="5"/>
      <c r="H31" s="5"/>
      <c r="I31" s="5"/>
      <c r="J31" s="10"/>
      <c r="K31" s="36">
        <f>SUM(C31:J31)</f>
        <v>6.1</v>
      </c>
      <c r="L31" s="12">
        <f t="shared" ref="L31:L33" si="1">B31+K31</f>
        <v>51.46</v>
      </c>
    </row>
    <row r="32" spans="1:16" ht="20.149999999999999" customHeight="1" x14ac:dyDescent="0.45">
      <c r="A32" s="9" t="s">
        <v>16</v>
      </c>
      <c r="B32" s="16">
        <v>123.5</v>
      </c>
      <c r="C32" s="12">
        <v>7.24</v>
      </c>
      <c r="D32" s="5">
        <v>8.75</v>
      </c>
      <c r="E32" s="5">
        <v>7.56</v>
      </c>
      <c r="F32" s="5">
        <v>2.37</v>
      </c>
      <c r="G32" s="5"/>
      <c r="H32" s="5"/>
      <c r="I32" s="5"/>
      <c r="J32" s="10">
        <v>0.62</v>
      </c>
      <c r="K32" s="21">
        <f>SUM(C32:J32)</f>
        <v>26.540000000000003</v>
      </c>
      <c r="L32" s="12">
        <f t="shared" si="1"/>
        <v>150.04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33.18</v>
      </c>
      <c r="L34" s="19">
        <f>SUM(L30:L33)</f>
        <v>206.78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  <c r="K37" s="2" t="s">
        <v>62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2705.5900000000011</v>
      </c>
      <c r="C40" s="124" t="s">
        <v>45</v>
      </c>
      <c r="D40" s="124"/>
      <c r="E40" s="44">
        <v>1.6600000000000001</v>
      </c>
      <c r="F40" s="33" t="s">
        <v>33</v>
      </c>
      <c r="G40" s="34">
        <v>0.2</v>
      </c>
      <c r="H40" s="39" t="s">
        <v>38</v>
      </c>
      <c r="I40" s="39">
        <f>E40+G40</f>
        <v>1.86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1833.31</v>
      </c>
      <c r="C43" s="5">
        <v>152.83000000000001</v>
      </c>
      <c r="D43" s="5">
        <v>206.63</v>
      </c>
      <c r="E43" s="5">
        <v>57.72</v>
      </c>
      <c r="F43" s="5">
        <v>19.66</v>
      </c>
      <c r="G43" s="5">
        <v>0.1</v>
      </c>
      <c r="H43" s="54">
        <v>0.3</v>
      </c>
      <c r="I43" s="5">
        <v>15.41</v>
      </c>
      <c r="J43" s="10">
        <v>22</v>
      </c>
      <c r="K43" s="26">
        <f>SUM(B43:J43)+L34+E37</f>
        <v>2531.37</v>
      </c>
      <c r="L43" s="27">
        <f>B40+H26-H27</f>
        <v>2526.7200000000012</v>
      </c>
      <c r="M43" s="29">
        <f>K43-L43-E40</f>
        <v>2.9899999999987266</v>
      </c>
    </row>
    <row r="44" spans="1:19" ht="20.149999999999999" customHeight="1" x14ac:dyDescent="0.45">
      <c r="M44" s="2">
        <f>M43-I40</f>
        <v>1.1299999999987265</v>
      </c>
    </row>
    <row r="48" spans="1:19" ht="20.149999999999999" customHeight="1" x14ac:dyDescent="0.45">
      <c r="Q48" s="122" t="s">
        <v>42</v>
      </c>
      <c r="R48" s="58" t="s">
        <v>43</v>
      </c>
      <c r="S48" s="58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58" t="s">
        <v>43</v>
      </c>
      <c r="S52" s="58" t="s">
        <v>40</v>
      </c>
      <c r="T52" s="58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FB5C3-AA56-4EB3-B33E-A50FFF9E9D54}">
  <sheetPr codeName="Sheet18">
    <pageSetUpPr fitToPage="1"/>
  </sheetPr>
  <dimension ref="A1:T53"/>
  <sheetViews>
    <sheetView zoomScaleNormal="100" zoomScaleSheetLayoutView="100" workbookViewId="0">
      <selection activeCell="E6" sqref="E6"/>
    </sheetView>
  </sheetViews>
  <sheetFormatPr defaultColWidth="9" defaultRowHeight="20.149999999999999" customHeight="1" x14ac:dyDescent="0.45"/>
  <cols>
    <col min="1" max="1" width="8.58203125" style="3" customWidth="1"/>
    <col min="2" max="2" width="9.83203125" style="2" bestFit="1" customWidth="1"/>
    <col min="3" max="7" width="8.58203125" style="2" customWidth="1"/>
    <col min="8" max="8" width="9.25" style="2" customWidth="1"/>
    <col min="9" max="11" width="8.58203125" style="2" customWidth="1"/>
    <col min="12" max="13" width="9.83203125" style="2" bestFit="1" customWidth="1"/>
    <col min="14" max="14" width="6.25" style="2" customWidth="1"/>
    <col min="15" max="15" width="8.58203125" style="1" customWidth="1"/>
    <col min="16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111.75" customHeight="1" x14ac:dyDescent="0.45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45922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0.06</v>
      </c>
      <c r="C5" s="5">
        <v>2911.66</v>
      </c>
      <c r="D5" s="5">
        <v>940.1</v>
      </c>
      <c r="E5" s="5">
        <v>60.12</v>
      </c>
      <c r="F5" s="5">
        <v>407.82</v>
      </c>
      <c r="G5" s="10">
        <v>3002.06</v>
      </c>
      <c r="H5" s="21">
        <f>SUM(B5:G5)</f>
        <v>7321.82</v>
      </c>
    </row>
    <row r="6" spans="1:14" ht="20.149999999999999" customHeight="1" thickBot="1" x14ac:dyDescent="0.5">
      <c r="A6" s="4" t="s">
        <v>4</v>
      </c>
      <c r="B6" s="5">
        <v>2997.73</v>
      </c>
      <c r="C6" s="5">
        <v>1878.77</v>
      </c>
      <c r="D6" s="5">
        <v>685.77</v>
      </c>
      <c r="E6" s="5">
        <v>3505.66</v>
      </c>
      <c r="F6" s="5">
        <v>173.11</v>
      </c>
      <c r="G6" s="10">
        <v>3122.06</v>
      </c>
      <c r="H6" s="22">
        <f>SUM(B6:G6)</f>
        <v>12363.1</v>
      </c>
    </row>
    <row r="7" spans="1:14" ht="20.149999999999999" customHeight="1" thickBot="1" x14ac:dyDescent="0.5"/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67.709999999999994</v>
      </c>
      <c r="C9" s="12">
        <v>1.01</v>
      </c>
      <c r="D9" s="5"/>
      <c r="E9" s="5"/>
      <c r="F9" s="5">
        <v>2.48</v>
      </c>
      <c r="G9" s="5"/>
      <c r="H9" s="5"/>
      <c r="I9" s="5"/>
      <c r="J9" s="10"/>
      <c r="K9" s="21">
        <f>SUM(C9:J9)</f>
        <v>3.49</v>
      </c>
      <c r="L9" s="12">
        <f>B9+K9</f>
        <v>71.199999999999989</v>
      </c>
    </row>
    <row r="10" spans="1:14" ht="20.149999999999999" customHeight="1" x14ac:dyDescent="0.45">
      <c r="A10" s="9" t="s">
        <v>15</v>
      </c>
      <c r="B10" s="16">
        <v>433.87999999999994</v>
      </c>
      <c r="C10" s="12">
        <v>20.89</v>
      </c>
      <c r="D10" s="5">
        <v>18.82</v>
      </c>
      <c r="E10" s="5"/>
      <c r="F10" s="5"/>
      <c r="G10" s="5"/>
      <c r="H10" s="5">
        <v>7.58</v>
      </c>
      <c r="I10" s="5"/>
      <c r="J10" s="10"/>
      <c r="K10" s="21">
        <f>SUM(C10:J10)</f>
        <v>47.29</v>
      </c>
      <c r="L10" s="12">
        <f>B10+K10</f>
        <v>481.16999999999996</v>
      </c>
    </row>
    <row r="11" spans="1:14" ht="20.149999999999999" customHeight="1" x14ac:dyDescent="0.45">
      <c r="A11" s="9" t="s">
        <v>16</v>
      </c>
      <c r="B11" s="16">
        <v>1258.9000000000001</v>
      </c>
      <c r="C11" s="12">
        <v>14.41</v>
      </c>
      <c r="D11" s="5">
        <v>26.48</v>
      </c>
      <c r="E11" s="5">
        <v>15.73</v>
      </c>
      <c r="F11" s="5">
        <v>85.44</v>
      </c>
      <c r="G11" s="5">
        <v>12.2</v>
      </c>
      <c r="H11" s="5">
        <v>26.51</v>
      </c>
      <c r="I11" s="5">
        <v>0.37</v>
      </c>
      <c r="J11" s="10">
        <v>7.26</v>
      </c>
      <c r="K11" s="21">
        <f>SUM(C11:J11)</f>
        <v>188.39999999999998</v>
      </c>
      <c r="L11" s="12">
        <f>B11+K11</f>
        <v>1447.3000000000002</v>
      </c>
    </row>
    <row r="12" spans="1:14" ht="20.149999999999999" customHeight="1" thickBot="1" x14ac:dyDescent="0.5">
      <c r="A12" s="32" t="s">
        <v>11</v>
      </c>
      <c r="B12" s="18">
        <f t="shared" ref="B12:L12" si="0">SUM(B9:B11)</f>
        <v>1760.49</v>
      </c>
      <c r="C12" s="19">
        <f t="shared" si="0"/>
        <v>36.31</v>
      </c>
      <c r="D12" s="8">
        <f t="shared" si="0"/>
        <v>45.3</v>
      </c>
      <c r="E12" s="8">
        <f t="shared" si="0"/>
        <v>15.73</v>
      </c>
      <c r="F12" s="8">
        <f t="shared" si="0"/>
        <v>87.92</v>
      </c>
      <c r="G12" s="8">
        <f t="shared" si="0"/>
        <v>12.2</v>
      </c>
      <c r="H12" s="8">
        <f t="shared" si="0"/>
        <v>34.090000000000003</v>
      </c>
      <c r="I12" s="8">
        <f t="shared" si="0"/>
        <v>0.37</v>
      </c>
      <c r="J12" s="8">
        <f t="shared" si="0"/>
        <v>7.26</v>
      </c>
      <c r="K12" s="23">
        <f t="shared" si="0"/>
        <v>239.17999999999998</v>
      </c>
      <c r="L12" s="19">
        <f t="shared" si="0"/>
        <v>1999.67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212.3</v>
      </c>
      <c r="C15" s="12"/>
      <c r="D15" s="10">
        <v>162.72</v>
      </c>
      <c r="E15" s="22">
        <f>B15+C15-D15</f>
        <v>49.580000000000013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20004.82</v>
      </c>
      <c r="C18" s="124" t="s">
        <v>45</v>
      </c>
      <c r="D18" s="124"/>
      <c r="E18" s="44">
        <v>14.330000000000004</v>
      </c>
      <c r="F18" s="33" t="s">
        <v>33</v>
      </c>
      <c r="G18" s="34">
        <v>4.28</v>
      </c>
      <c r="H18" s="39" t="s">
        <v>38</v>
      </c>
      <c r="I18" s="39">
        <f>E18+G18</f>
        <v>18.610000000000003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>
        <v>3500</v>
      </c>
      <c r="J19" s="8"/>
      <c r="K19" s="15"/>
      <c r="L19" s="15"/>
      <c r="M19" s="8"/>
      <c r="N19" s="15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48</v>
      </c>
      <c r="K20" s="9" t="s">
        <v>17</v>
      </c>
      <c r="L20" s="24" t="s">
        <v>30</v>
      </c>
      <c r="M20" s="25" t="s">
        <v>31</v>
      </c>
      <c r="N20" s="28" t="s">
        <v>32</v>
      </c>
      <c r="O20" s="2"/>
    </row>
    <row r="21" spans="1:16" ht="20.149999999999999" customHeight="1" thickBot="1" x14ac:dyDescent="0.5">
      <c r="A21" s="4" t="s">
        <v>28</v>
      </c>
      <c r="B21" s="5">
        <f>C19+D19+E19+F19-I19-J19-K19-L19</f>
        <v>9578.8799999999992</v>
      </c>
      <c r="C21" s="5">
        <v>1830.18</v>
      </c>
      <c r="D21" s="5">
        <v>661.65</v>
      </c>
      <c r="E21" s="5">
        <v>85.08</v>
      </c>
      <c r="F21" s="5">
        <v>546.01</v>
      </c>
      <c r="G21" s="5">
        <v>0.46</v>
      </c>
      <c r="H21" s="5">
        <v>8.41</v>
      </c>
      <c r="I21" s="5"/>
      <c r="J21" s="5">
        <v>167.8</v>
      </c>
      <c r="K21" s="10">
        <v>63</v>
      </c>
      <c r="L21" s="26">
        <f>B21+C21+D21+E21+F21+G21+H21+J21+K21+L12+E15+I21</f>
        <v>14990.719999999998</v>
      </c>
      <c r="M21" s="27">
        <f>B18+H5-H6</f>
        <v>14963.539999999999</v>
      </c>
      <c r="N21" s="29">
        <f>L21-M21-G18</f>
        <v>22.899999999998471</v>
      </c>
      <c r="O21" s="2"/>
    </row>
    <row r="22" spans="1:16" ht="20.149999999999999" customHeight="1" x14ac:dyDescent="0.45">
      <c r="M22" s="53"/>
      <c r="N22" s="53">
        <f>N21-I18</f>
        <v>4.2899999999984679</v>
      </c>
      <c r="O22" s="2"/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7.0000000000000007E-2</v>
      </c>
      <c r="C26" s="5">
        <v>406.94</v>
      </c>
      <c r="D26" s="5">
        <v>268.89999999999998</v>
      </c>
      <c r="E26" s="5"/>
      <c r="F26" s="5">
        <v>54.9</v>
      </c>
      <c r="G26" s="10">
        <v>276.82</v>
      </c>
      <c r="H26" s="21">
        <f>SUM(B26:G26)</f>
        <v>1007.6299999999999</v>
      </c>
    </row>
    <row r="27" spans="1:16" ht="20.149999999999999" customHeight="1" thickBot="1" x14ac:dyDescent="0.5">
      <c r="A27" s="4" t="s">
        <v>4</v>
      </c>
      <c r="B27" s="5">
        <v>259.74</v>
      </c>
      <c r="C27" s="5">
        <v>180.59</v>
      </c>
      <c r="D27" s="5">
        <v>126.66</v>
      </c>
      <c r="E27" s="5"/>
      <c r="F27" s="5">
        <v>58.34</v>
      </c>
      <c r="G27" s="10">
        <v>209.89</v>
      </c>
      <c r="H27" s="22">
        <f>SUM(B27:G27)</f>
        <v>835.22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5.28</v>
      </c>
      <c r="C30" s="12">
        <v>0.49</v>
      </c>
      <c r="D30" s="5"/>
      <c r="E30" s="5">
        <v>0.76</v>
      </c>
      <c r="F30" s="5"/>
      <c r="G30" s="5"/>
      <c r="H30" s="5"/>
      <c r="I30" s="5"/>
      <c r="J30" s="10"/>
      <c r="K30" s="21">
        <f>SUM(C30:J30)</f>
        <v>1.25</v>
      </c>
      <c r="L30" s="12">
        <f>B30+K30</f>
        <v>6.53</v>
      </c>
    </row>
    <row r="31" spans="1:16" ht="20.149999999999999" customHeight="1" x14ac:dyDescent="0.45">
      <c r="A31" s="9" t="s">
        <v>15</v>
      </c>
      <c r="B31" s="16">
        <v>51.46</v>
      </c>
      <c r="C31" s="12">
        <v>4.76</v>
      </c>
      <c r="D31" s="5"/>
      <c r="E31" s="5"/>
      <c r="F31" s="5">
        <v>2.9</v>
      </c>
      <c r="G31" s="5"/>
      <c r="H31" s="5"/>
      <c r="I31" s="5"/>
      <c r="J31" s="10"/>
      <c r="K31" s="36">
        <f>SUM(C31:J31)</f>
        <v>7.66</v>
      </c>
      <c r="L31" s="12">
        <f t="shared" ref="L31:L33" si="1">B31+K31</f>
        <v>59.120000000000005</v>
      </c>
    </row>
    <row r="32" spans="1:16" ht="20.149999999999999" customHeight="1" x14ac:dyDescent="0.45">
      <c r="A32" s="9" t="s">
        <v>16</v>
      </c>
      <c r="B32" s="16">
        <v>150.04</v>
      </c>
      <c r="C32" s="12">
        <v>6.3</v>
      </c>
      <c r="D32" s="5">
        <v>3.13</v>
      </c>
      <c r="E32" s="5">
        <v>15.54</v>
      </c>
      <c r="F32" s="5">
        <v>4.1900000000000004</v>
      </c>
      <c r="G32" s="5"/>
      <c r="H32" s="5"/>
      <c r="I32" s="5"/>
      <c r="J32" s="10"/>
      <c r="K32" s="21">
        <f>SUM(C32:J32)</f>
        <v>29.16</v>
      </c>
      <c r="L32" s="12">
        <f t="shared" si="1"/>
        <v>179.2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38.07</v>
      </c>
      <c r="L34" s="19">
        <f>SUM(L30:L33)</f>
        <v>244.85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  <c r="K37" s="2" t="s">
        <v>62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2526.7200000000012</v>
      </c>
      <c r="C40" s="124" t="s">
        <v>45</v>
      </c>
      <c r="D40" s="124"/>
      <c r="E40" s="44">
        <v>1.86</v>
      </c>
      <c r="F40" s="33" t="s">
        <v>33</v>
      </c>
      <c r="G40" s="34">
        <v>0.13</v>
      </c>
      <c r="H40" s="39" t="s">
        <v>38</v>
      </c>
      <c r="I40" s="39">
        <f>E40+G40</f>
        <v>1.9900000000000002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1833.31</v>
      </c>
      <c r="C43" s="5">
        <v>255.23</v>
      </c>
      <c r="D43" s="5">
        <v>233.8</v>
      </c>
      <c r="E43" s="5"/>
      <c r="F43" s="5">
        <v>81.069999999999993</v>
      </c>
      <c r="G43" s="5">
        <v>0.01</v>
      </c>
      <c r="H43" s="54">
        <v>1.2</v>
      </c>
      <c r="I43" s="5">
        <v>15.41</v>
      </c>
      <c r="J43" s="10">
        <v>22</v>
      </c>
      <c r="K43" s="26">
        <f>SUM(B43:J43)+L34+E37</f>
        <v>2703.51</v>
      </c>
      <c r="L43" s="27">
        <f>B40+H26-H27</f>
        <v>2699.130000000001</v>
      </c>
      <c r="M43" s="29">
        <f>K43-L43-E40</f>
        <v>2.5199999999991993</v>
      </c>
    </row>
    <row r="44" spans="1:19" ht="20.149999999999999" customHeight="1" x14ac:dyDescent="0.45">
      <c r="M44" s="2">
        <f>M43-I40</f>
        <v>0.52999999999919911</v>
      </c>
    </row>
    <row r="48" spans="1:19" ht="20.149999999999999" customHeight="1" x14ac:dyDescent="0.45">
      <c r="Q48" s="122" t="s">
        <v>42</v>
      </c>
      <c r="R48" s="60" t="s">
        <v>43</v>
      </c>
      <c r="S48" s="60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60" t="s">
        <v>43</v>
      </c>
      <c r="S52" s="60" t="s">
        <v>40</v>
      </c>
      <c r="T52" s="60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EB8A1-7439-4173-A799-71C474554A3B}">
  <sheetPr codeName="Sheet19">
    <pageSetUpPr fitToPage="1"/>
  </sheetPr>
  <dimension ref="A1:T53"/>
  <sheetViews>
    <sheetView zoomScaleNormal="100" zoomScaleSheetLayoutView="100" workbookViewId="0">
      <selection activeCell="V41" sqref="V41"/>
    </sheetView>
  </sheetViews>
  <sheetFormatPr defaultColWidth="9" defaultRowHeight="20.149999999999999" customHeight="1" x14ac:dyDescent="0.45"/>
  <cols>
    <col min="1" max="1" width="8.58203125" style="3" customWidth="1"/>
    <col min="2" max="2" width="9.83203125" style="2" bestFit="1" customWidth="1"/>
    <col min="3" max="7" width="8.58203125" style="2" customWidth="1"/>
    <col min="8" max="8" width="9.25" style="2" customWidth="1"/>
    <col min="9" max="11" width="8.58203125" style="2" customWidth="1"/>
    <col min="12" max="13" width="9.83203125" style="2" bestFit="1" customWidth="1"/>
    <col min="14" max="14" width="6.25" style="2" customWidth="1"/>
    <col min="15" max="15" width="8.58203125" style="1" customWidth="1"/>
    <col min="16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111.75" customHeight="1" x14ac:dyDescent="0.45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45923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2.29</v>
      </c>
      <c r="C5" s="5">
        <v>4112.0200000000004</v>
      </c>
      <c r="D5" s="5">
        <v>1383.2</v>
      </c>
      <c r="E5" s="5">
        <v>35.479999999999997</v>
      </c>
      <c r="F5" s="5">
        <v>87.96</v>
      </c>
      <c r="G5" s="10">
        <v>2533.0300000000002</v>
      </c>
      <c r="H5" s="21">
        <f>SUM(B5:G5)</f>
        <v>8153.98</v>
      </c>
    </row>
    <row r="6" spans="1:14" ht="20.149999999999999" customHeight="1" thickBot="1" x14ac:dyDescent="0.5">
      <c r="A6" s="4" t="s">
        <v>4</v>
      </c>
      <c r="B6" s="5">
        <v>763.08</v>
      </c>
      <c r="C6" s="5">
        <v>3166.61</v>
      </c>
      <c r="D6" s="5">
        <v>415.7</v>
      </c>
      <c r="E6" s="5">
        <v>35.36</v>
      </c>
      <c r="F6" s="5">
        <v>285.38</v>
      </c>
      <c r="G6" s="10">
        <v>2329.6</v>
      </c>
      <c r="H6" s="22">
        <f>SUM(B6:G6)</f>
        <v>6995.73</v>
      </c>
    </row>
    <row r="7" spans="1:14" ht="20.149999999999999" customHeight="1" thickBot="1" x14ac:dyDescent="0.5"/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71.199999999999989</v>
      </c>
      <c r="C9" s="12">
        <v>1.67</v>
      </c>
      <c r="D9" s="5"/>
      <c r="E9" s="5"/>
      <c r="F9" s="5">
        <v>4.71</v>
      </c>
      <c r="G9" s="5"/>
      <c r="H9" s="5"/>
      <c r="I9" s="5"/>
      <c r="J9" s="10"/>
      <c r="K9" s="21">
        <f>SUM(C9:J9)</f>
        <v>6.38</v>
      </c>
      <c r="L9" s="12">
        <f>B9+K9</f>
        <v>77.579999999999984</v>
      </c>
    </row>
    <row r="10" spans="1:14" ht="20.149999999999999" customHeight="1" x14ac:dyDescent="0.45">
      <c r="A10" s="9" t="s">
        <v>15</v>
      </c>
      <c r="B10" s="16">
        <v>481.16999999999996</v>
      </c>
      <c r="C10" s="12">
        <v>20.95</v>
      </c>
      <c r="D10" s="5">
        <v>23.76</v>
      </c>
      <c r="E10" s="5">
        <v>7.89</v>
      </c>
      <c r="F10" s="5"/>
      <c r="G10" s="5"/>
      <c r="H10" s="5"/>
      <c r="I10" s="5"/>
      <c r="J10" s="10"/>
      <c r="K10" s="21">
        <f>SUM(C10:J10)</f>
        <v>52.6</v>
      </c>
      <c r="L10" s="12">
        <f>B10+K10</f>
        <v>533.77</v>
      </c>
    </row>
    <row r="11" spans="1:14" ht="20.149999999999999" customHeight="1" x14ac:dyDescent="0.45">
      <c r="A11" s="9" t="s">
        <v>16</v>
      </c>
      <c r="B11" s="16">
        <v>1447.3000000000002</v>
      </c>
      <c r="C11" s="12">
        <v>5.44</v>
      </c>
      <c r="D11" s="5">
        <v>56.48</v>
      </c>
      <c r="E11" s="5">
        <v>12.22</v>
      </c>
      <c r="F11" s="5">
        <v>33.950000000000003</v>
      </c>
      <c r="G11" s="5">
        <v>4.84</v>
      </c>
      <c r="H11" s="5">
        <v>3.42</v>
      </c>
      <c r="I11" s="5">
        <v>3.6</v>
      </c>
      <c r="J11" s="10">
        <v>8.8699999999999992</v>
      </c>
      <c r="K11" s="21">
        <f>SUM(C11:J11)</f>
        <v>128.82</v>
      </c>
      <c r="L11" s="12">
        <f>B11+K11</f>
        <v>1576.1200000000001</v>
      </c>
    </row>
    <row r="12" spans="1:14" ht="20.149999999999999" customHeight="1" thickBot="1" x14ac:dyDescent="0.5">
      <c r="A12" s="32" t="s">
        <v>11</v>
      </c>
      <c r="B12" s="18">
        <f t="shared" ref="B12:L12" si="0">SUM(B9:B11)</f>
        <v>1999.67</v>
      </c>
      <c r="C12" s="19">
        <f t="shared" si="0"/>
        <v>28.06</v>
      </c>
      <c r="D12" s="8">
        <f t="shared" si="0"/>
        <v>80.239999999999995</v>
      </c>
      <c r="E12" s="8">
        <f t="shared" si="0"/>
        <v>20.11</v>
      </c>
      <c r="F12" s="8">
        <f t="shared" si="0"/>
        <v>38.660000000000004</v>
      </c>
      <c r="G12" s="8">
        <f t="shared" si="0"/>
        <v>4.84</v>
      </c>
      <c r="H12" s="8">
        <f t="shared" si="0"/>
        <v>3.42</v>
      </c>
      <c r="I12" s="8">
        <f t="shared" si="0"/>
        <v>3.6</v>
      </c>
      <c r="J12" s="8">
        <f t="shared" si="0"/>
        <v>8.8699999999999992</v>
      </c>
      <c r="K12" s="23">
        <f t="shared" si="0"/>
        <v>187.8</v>
      </c>
      <c r="L12" s="19">
        <f t="shared" si="0"/>
        <v>2187.4700000000003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49.580000000000013</v>
      </c>
      <c r="C15" s="12"/>
      <c r="D15" s="10"/>
      <c r="E15" s="22">
        <f>B15+C15-D15</f>
        <v>49.580000000000013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14963.539999999999</v>
      </c>
      <c r="C18" s="124" t="s">
        <v>45</v>
      </c>
      <c r="D18" s="124"/>
      <c r="E18" s="44">
        <v>18.610000000000003</v>
      </c>
      <c r="F18" s="33" t="s">
        <v>33</v>
      </c>
      <c r="G18" s="34">
        <v>1.84</v>
      </c>
      <c r="H18" s="39" t="s">
        <v>38</v>
      </c>
      <c r="I18" s="39">
        <f>E18+G18</f>
        <v>20.450000000000003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>
        <v>3500</v>
      </c>
      <c r="J19" s="8"/>
      <c r="K19" s="15"/>
      <c r="L19" s="15"/>
      <c r="M19" s="8"/>
      <c r="N19" s="15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48</v>
      </c>
      <c r="K20" s="9" t="s">
        <v>17</v>
      </c>
      <c r="L20" s="24" t="s">
        <v>30</v>
      </c>
      <c r="M20" s="25" t="s">
        <v>31</v>
      </c>
      <c r="N20" s="28" t="s">
        <v>32</v>
      </c>
      <c r="O20" s="2"/>
    </row>
    <row r="21" spans="1:16" ht="20.149999999999999" customHeight="1" thickBot="1" x14ac:dyDescent="0.5">
      <c r="A21" s="4" t="s">
        <v>28</v>
      </c>
      <c r="B21" s="5">
        <f>C19+D19+E19+F19-I19-J19-K19-L19</f>
        <v>9578.8799999999992</v>
      </c>
      <c r="C21" s="5">
        <v>2315.7399999999998</v>
      </c>
      <c r="D21" s="5">
        <v>883.46</v>
      </c>
      <c r="E21" s="5">
        <v>65.62</v>
      </c>
      <c r="F21" s="5">
        <v>828.63</v>
      </c>
      <c r="G21" s="5">
        <v>0.44</v>
      </c>
      <c r="H21" s="5">
        <v>9.74</v>
      </c>
      <c r="I21" s="5"/>
      <c r="J21" s="5">
        <v>167.8</v>
      </c>
      <c r="K21" s="10">
        <v>63</v>
      </c>
      <c r="L21" s="26">
        <f>B21+C21+D21+E21+F21+G21+H21+J21+K21+L12+E15+I21</f>
        <v>16150.359999999999</v>
      </c>
      <c r="M21" s="27">
        <f>B18+H5-H6</f>
        <v>16121.789999999997</v>
      </c>
      <c r="N21" s="29">
        <f>L21-M21-G18</f>
        <v>26.730000000001528</v>
      </c>
      <c r="O21" s="2"/>
    </row>
    <row r="22" spans="1:16" ht="20.149999999999999" customHeight="1" x14ac:dyDescent="0.45">
      <c r="M22" s="53"/>
      <c r="N22" s="53">
        <f>N21-I18</f>
        <v>6.2800000000015253</v>
      </c>
      <c r="O22" s="2"/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0.05</v>
      </c>
      <c r="C26" s="5">
        <v>500.5</v>
      </c>
      <c r="D26" s="5">
        <v>170.23</v>
      </c>
      <c r="E26" s="5"/>
      <c r="F26" s="5">
        <v>63.19</v>
      </c>
      <c r="G26" s="10">
        <v>263.89</v>
      </c>
      <c r="H26" s="21">
        <f>SUM(B26:G26)</f>
        <v>997.86</v>
      </c>
    </row>
    <row r="27" spans="1:16" ht="20.149999999999999" customHeight="1" thickBot="1" x14ac:dyDescent="0.5">
      <c r="A27" s="4" t="s">
        <v>4</v>
      </c>
      <c r="B27" s="5">
        <v>261.79000000000002</v>
      </c>
      <c r="C27" s="5">
        <v>174.29</v>
      </c>
      <c r="D27" s="5">
        <v>44.92</v>
      </c>
      <c r="E27" s="5"/>
      <c r="F27" s="5">
        <v>95.57</v>
      </c>
      <c r="G27" s="10">
        <v>379.9</v>
      </c>
      <c r="H27" s="22">
        <f>SUM(B27:G27)</f>
        <v>956.47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6.53</v>
      </c>
      <c r="C30" s="12"/>
      <c r="D30" s="5"/>
      <c r="E30" s="5"/>
      <c r="F30" s="5"/>
      <c r="G30" s="5"/>
      <c r="H30" s="5"/>
      <c r="I30" s="5"/>
      <c r="J30" s="10"/>
      <c r="K30" s="21">
        <f>SUM(C30:J30)</f>
        <v>0</v>
      </c>
      <c r="L30" s="12">
        <f>B30+K30</f>
        <v>6.53</v>
      </c>
    </row>
    <row r="31" spans="1:16" ht="20.149999999999999" customHeight="1" x14ac:dyDescent="0.45">
      <c r="A31" s="9" t="s">
        <v>15</v>
      </c>
      <c r="B31" s="16">
        <v>59.120000000000005</v>
      </c>
      <c r="C31" s="12">
        <v>5.38</v>
      </c>
      <c r="D31" s="5"/>
      <c r="E31" s="5">
        <v>0.8</v>
      </c>
      <c r="F31" s="5"/>
      <c r="G31" s="5"/>
      <c r="H31" s="5"/>
      <c r="I31" s="5"/>
      <c r="J31" s="10"/>
      <c r="K31" s="36">
        <f>SUM(C31:J31)</f>
        <v>6.18</v>
      </c>
      <c r="L31" s="12">
        <f t="shared" ref="L31:L33" si="1">B31+K31</f>
        <v>65.300000000000011</v>
      </c>
    </row>
    <row r="32" spans="1:16" ht="20.149999999999999" customHeight="1" x14ac:dyDescent="0.45">
      <c r="A32" s="9" t="s">
        <v>16</v>
      </c>
      <c r="B32" s="16">
        <v>179.2</v>
      </c>
      <c r="C32" s="12">
        <v>5.81</v>
      </c>
      <c r="D32" s="5"/>
      <c r="E32" s="5">
        <v>9.61</v>
      </c>
      <c r="F32" s="5">
        <v>0.13</v>
      </c>
      <c r="G32" s="5"/>
      <c r="H32" s="5"/>
      <c r="I32" s="5"/>
      <c r="J32" s="10">
        <v>1.21</v>
      </c>
      <c r="K32" s="21">
        <f>SUM(C32:J32)</f>
        <v>16.759999999999998</v>
      </c>
      <c r="L32" s="12">
        <f t="shared" si="1"/>
        <v>195.95999999999998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22.939999999999998</v>
      </c>
      <c r="L34" s="19">
        <f>SUM(L30:L33)</f>
        <v>267.78999999999996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  <c r="K37" s="2" t="s">
        <v>62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2699.130000000001</v>
      </c>
      <c r="C40" s="124" t="s">
        <v>45</v>
      </c>
      <c r="D40" s="124"/>
      <c r="E40" s="44">
        <v>1.9900000000000002</v>
      </c>
      <c r="F40" s="33" t="s">
        <v>33</v>
      </c>
      <c r="G40" s="34">
        <v>0.09</v>
      </c>
      <c r="H40" s="39" t="s">
        <v>38</v>
      </c>
      <c r="I40" s="39">
        <f>E40+G40</f>
        <v>2.08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1833.31</v>
      </c>
      <c r="C43" s="5">
        <v>299.33</v>
      </c>
      <c r="D43" s="5">
        <v>89</v>
      </c>
      <c r="E43" s="5">
        <v>19.97</v>
      </c>
      <c r="F43" s="5">
        <v>168.64</v>
      </c>
      <c r="G43" s="5">
        <v>11.98</v>
      </c>
      <c r="H43" s="54">
        <v>0.95</v>
      </c>
      <c r="I43" s="5">
        <v>15.41</v>
      </c>
      <c r="J43" s="10">
        <v>22</v>
      </c>
      <c r="K43" s="26">
        <f>SUM(B43:J43)+L34+E37</f>
        <v>2745.0099999999993</v>
      </c>
      <c r="L43" s="27">
        <f>B40+H26-H27</f>
        <v>2740.5200000000013</v>
      </c>
      <c r="M43" s="29">
        <f>K43-L43-E40</f>
        <v>2.4999999999979625</v>
      </c>
    </row>
    <row r="44" spans="1:19" ht="20.149999999999999" customHeight="1" x14ac:dyDescent="0.45">
      <c r="M44" s="2">
        <f>M43-I40</f>
        <v>0.41999999999796245</v>
      </c>
    </row>
    <row r="48" spans="1:19" ht="20.149999999999999" customHeight="1" x14ac:dyDescent="0.45">
      <c r="Q48" s="122" t="s">
        <v>42</v>
      </c>
      <c r="R48" s="61" t="s">
        <v>43</v>
      </c>
      <c r="S48" s="61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61" t="s">
        <v>43</v>
      </c>
      <c r="S52" s="61" t="s">
        <v>40</v>
      </c>
      <c r="T52" s="61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F7841-B1DA-4A14-A6AF-5071527CF305}">
  <sheetPr codeName="Sheet20">
    <pageSetUpPr fitToPage="1"/>
  </sheetPr>
  <dimension ref="A1:T53"/>
  <sheetViews>
    <sheetView zoomScaleNormal="100" zoomScaleSheetLayoutView="100" workbookViewId="0">
      <selection activeCell="L14" sqref="L14"/>
    </sheetView>
  </sheetViews>
  <sheetFormatPr defaultColWidth="9" defaultRowHeight="20.149999999999999" customHeight="1" x14ac:dyDescent="0.45"/>
  <cols>
    <col min="1" max="1" width="8.58203125" style="3" customWidth="1"/>
    <col min="2" max="2" width="9.83203125" style="2" bestFit="1" customWidth="1"/>
    <col min="3" max="7" width="8.58203125" style="2" customWidth="1"/>
    <col min="8" max="8" width="9.25" style="2" customWidth="1"/>
    <col min="9" max="11" width="8.58203125" style="2" customWidth="1"/>
    <col min="12" max="13" width="9.83203125" style="2" bestFit="1" customWidth="1"/>
    <col min="14" max="14" width="6.25" style="2" customWidth="1"/>
    <col min="15" max="15" width="8.58203125" style="1" customWidth="1"/>
    <col min="16" max="16" width="9" style="1"/>
    <col min="17" max="17" width="4" style="1" customWidth="1"/>
    <col min="18" max="20" width="7.58203125" style="1" customWidth="1"/>
    <col min="21" max="16384" width="9" style="1"/>
  </cols>
  <sheetData>
    <row r="1" spans="1:14" ht="111.75" customHeight="1" x14ac:dyDescent="0.45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45">
      <c r="A2" s="126">
        <v>45924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49999999999999" customHeight="1" thickBot="1" x14ac:dyDescent="0.5">
      <c r="A3" s="35" t="s">
        <v>1</v>
      </c>
    </row>
    <row r="4" spans="1:14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49999999999999" customHeight="1" x14ac:dyDescent="0.45">
      <c r="A5" s="4" t="s">
        <v>3</v>
      </c>
      <c r="B5" s="5">
        <v>0.86</v>
      </c>
      <c r="C5" s="5">
        <v>3886.28</v>
      </c>
      <c r="D5" s="5">
        <v>985.31</v>
      </c>
      <c r="E5" s="5">
        <v>69.540000000000006</v>
      </c>
      <c r="F5" s="5">
        <v>424.53</v>
      </c>
      <c r="G5" s="10">
        <v>2421.59</v>
      </c>
      <c r="H5" s="21">
        <f>SUM(B5:G5)</f>
        <v>7788.1100000000006</v>
      </c>
    </row>
    <row r="6" spans="1:14" ht="20.149999999999999" customHeight="1" thickBot="1" x14ac:dyDescent="0.5">
      <c r="A6" s="4" t="s">
        <v>4</v>
      </c>
      <c r="B6" s="5">
        <v>2448.7800000000002</v>
      </c>
      <c r="C6" s="5">
        <v>1190.3399999999999</v>
      </c>
      <c r="D6" s="5">
        <v>451.6</v>
      </c>
      <c r="E6" s="5">
        <v>174.6</v>
      </c>
      <c r="F6" s="5">
        <v>502.88</v>
      </c>
      <c r="G6" s="10">
        <v>3057.1</v>
      </c>
      <c r="H6" s="22">
        <f>SUM(B6:G6)</f>
        <v>7825.2999999999993</v>
      </c>
    </row>
    <row r="7" spans="1:14" ht="20.149999999999999" customHeight="1" thickBot="1" x14ac:dyDescent="0.5"/>
    <row r="8" spans="1:14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49999999999999" customHeight="1" x14ac:dyDescent="0.45">
      <c r="A9" s="9" t="s">
        <v>14</v>
      </c>
      <c r="B9" s="16">
        <v>77.579999999999984</v>
      </c>
      <c r="C9" s="12">
        <v>1.97</v>
      </c>
      <c r="D9" s="5"/>
      <c r="E9" s="5"/>
      <c r="F9" s="5">
        <v>8.1300000000000008</v>
      </c>
      <c r="G9" s="5"/>
      <c r="H9" s="5"/>
      <c r="I9" s="5"/>
      <c r="J9" s="10"/>
      <c r="K9" s="21">
        <f>SUM(C9:J9)</f>
        <v>10.100000000000001</v>
      </c>
      <c r="L9" s="12">
        <f>B9+K9</f>
        <v>87.679999999999978</v>
      </c>
    </row>
    <row r="10" spans="1:14" ht="20.149999999999999" customHeight="1" x14ac:dyDescent="0.45">
      <c r="A10" s="9" t="s">
        <v>15</v>
      </c>
      <c r="B10" s="16">
        <v>533.77</v>
      </c>
      <c r="C10" s="12">
        <v>32.65</v>
      </c>
      <c r="D10" s="5">
        <v>21.53</v>
      </c>
      <c r="E10" s="5"/>
      <c r="F10" s="5"/>
      <c r="G10" s="5"/>
      <c r="H10" s="5">
        <v>6.17</v>
      </c>
      <c r="I10" s="5"/>
      <c r="J10" s="10"/>
      <c r="K10" s="21">
        <f>SUM(C10:J10)</f>
        <v>60.35</v>
      </c>
      <c r="L10" s="12">
        <f>B10+K10</f>
        <v>594.12</v>
      </c>
    </row>
    <row r="11" spans="1:14" ht="20.149999999999999" customHeight="1" x14ac:dyDescent="0.45">
      <c r="A11" s="9" t="s">
        <v>16</v>
      </c>
      <c r="B11" s="16">
        <v>1576.1200000000001</v>
      </c>
      <c r="C11" s="12">
        <v>14.73</v>
      </c>
      <c r="D11" s="5">
        <v>46.3</v>
      </c>
      <c r="E11" s="5">
        <v>15.1</v>
      </c>
      <c r="F11" s="5">
        <v>37.340000000000003</v>
      </c>
      <c r="G11" s="5">
        <v>1.66</v>
      </c>
      <c r="H11" s="5">
        <v>25.21</v>
      </c>
      <c r="I11" s="5">
        <v>1.05</v>
      </c>
      <c r="J11" s="10">
        <v>10.18</v>
      </c>
      <c r="K11" s="21">
        <f>SUM(C11:J11)</f>
        <v>151.57000000000002</v>
      </c>
      <c r="L11" s="12">
        <f>B11+K11</f>
        <v>1727.69</v>
      </c>
    </row>
    <row r="12" spans="1:14" ht="20.149999999999999" customHeight="1" thickBot="1" x14ac:dyDescent="0.5">
      <c r="A12" s="32" t="s">
        <v>11</v>
      </c>
      <c r="B12" s="18">
        <f t="shared" ref="B12:L12" si="0">SUM(B9:B11)</f>
        <v>2187.4700000000003</v>
      </c>
      <c r="C12" s="19">
        <f t="shared" si="0"/>
        <v>49.349999999999994</v>
      </c>
      <c r="D12" s="8">
        <f t="shared" si="0"/>
        <v>67.83</v>
      </c>
      <c r="E12" s="8">
        <f t="shared" si="0"/>
        <v>15.1</v>
      </c>
      <c r="F12" s="8">
        <f t="shared" si="0"/>
        <v>45.470000000000006</v>
      </c>
      <c r="G12" s="8">
        <f t="shared" si="0"/>
        <v>1.66</v>
      </c>
      <c r="H12" s="8">
        <f t="shared" si="0"/>
        <v>31.380000000000003</v>
      </c>
      <c r="I12" s="8">
        <f t="shared" si="0"/>
        <v>1.05</v>
      </c>
      <c r="J12" s="8">
        <f t="shared" si="0"/>
        <v>10.18</v>
      </c>
      <c r="K12" s="23">
        <f t="shared" si="0"/>
        <v>222.02000000000004</v>
      </c>
      <c r="L12" s="19">
        <f t="shared" si="0"/>
        <v>2409.4899999999998</v>
      </c>
    </row>
    <row r="13" spans="1:14" ht="20.149999999999999" customHeight="1" thickBot="1" x14ac:dyDescent="0.5"/>
    <row r="14" spans="1:14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49999999999999" customHeight="1" thickBot="1" x14ac:dyDescent="0.5">
      <c r="A15" s="9" t="s">
        <v>28</v>
      </c>
      <c r="B15" s="14">
        <v>49.580000000000013</v>
      </c>
      <c r="C15" s="12"/>
      <c r="D15" s="10"/>
      <c r="E15" s="22">
        <f>B15+C15-D15</f>
        <v>49.580000000000013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16121.789999999997</v>
      </c>
      <c r="C18" s="124" t="s">
        <v>45</v>
      </c>
      <c r="D18" s="124"/>
      <c r="E18" s="44">
        <v>20.450000000000003</v>
      </c>
      <c r="F18" s="33" t="s">
        <v>33</v>
      </c>
      <c r="G18" s="34"/>
      <c r="H18" s="39" t="s">
        <v>38</v>
      </c>
      <c r="I18" s="39">
        <f>E18+G18</f>
        <v>20.450000000000003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>
        <v>3500</v>
      </c>
      <c r="J19" s="8"/>
      <c r="K19" s="15"/>
      <c r="L19" s="15"/>
      <c r="M19" s="8"/>
      <c r="N19" s="15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65</v>
      </c>
      <c r="K20" s="9" t="s">
        <v>64</v>
      </c>
      <c r="L20" s="24" t="s">
        <v>30</v>
      </c>
      <c r="M20" s="25" t="s">
        <v>31</v>
      </c>
      <c r="N20" s="28" t="s">
        <v>32</v>
      </c>
      <c r="O20" s="2"/>
    </row>
    <row r="21" spans="1:16" ht="20.149999999999999" customHeight="1" thickBot="1" x14ac:dyDescent="0.5">
      <c r="A21" s="4" t="s">
        <v>28</v>
      </c>
      <c r="B21" s="5">
        <f>C19+D19+E19+F19-I19-J19-K19-L19</f>
        <v>9578.8799999999992</v>
      </c>
      <c r="C21" s="5">
        <v>2117.8200000000002</v>
      </c>
      <c r="D21" s="5">
        <v>864.77</v>
      </c>
      <c r="E21" s="5">
        <v>251.67</v>
      </c>
      <c r="F21" s="5">
        <v>599</v>
      </c>
      <c r="G21" s="5">
        <v>0.44</v>
      </c>
      <c r="H21" s="5">
        <v>4.0599999999999996</v>
      </c>
      <c r="I21" s="5">
        <v>6.28</v>
      </c>
      <c r="J21" s="5">
        <v>167.8</v>
      </c>
      <c r="K21" s="10">
        <v>63</v>
      </c>
      <c r="L21" s="26">
        <f>B21+C21+D21+E21+F21+G21+H21+J21+K21+L12+E15+I21</f>
        <v>16112.789999999999</v>
      </c>
      <c r="M21" s="27">
        <f>B18+H5-H6</f>
        <v>16084.599999999999</v>
      </c>
      <c r="N21" s="29">
        <f>L21-M21-G18</f>
        <v>28.190000000000509</v>
      </c>
      <c r="O21" s="2"/>
    </row>
    <row r="22" spans="1:16" ht="20.149999999999999" customHeight="1" x14ac:dyDescent="0.45">
      <c r="M22" s="53"/>
      <c r="N22" s="53">
        <f>N21-I18</f>
        <v>7.7400000000005065</v>
      </c>
      <c r="O22" s="2"/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49999999999999" customHeight="1" x14ac:dyDescent="0.45">
      <c r="A26" s="4" t="s">
        <v>3</v>
      </c>
      <c r="B26" s="5">
        <v>0.63</v>
      </c>
      <c r="C26" s="5">
        <v>243.62</v>
      </c>
      <c r="D26" s="5">
        <v>158.12</v>
      </c>
      <c r="E26" s="5"/>
      <c r="F26" s="5">
        <v>28.95</v>
      </c>
      <c r="G26" s="10">
        <v>420.86</v>
      </c>
      <c r="H26" s="21">
        <f>SUM(B26:G26)</f>
        <v>852.18000000000006</v>
      </c>
    </row>
    <row r="27" spans="1:16" ht="20.149999999999999" customHeight="1" thickBot="1" x14ac:dyDescent="0.5">
      <c r="A27" s="4" t="s">
        <v>4</v>
      </c>
      <c r="B27" s="5">
        <v>418.58</v>
      </c>
      <c r="C27" s="5">
        <v>184</v>
      </c>
      <c r="D27" s="5">
        <v>167.7</v>
      </c>
      <c r="E27" s="5"/>
      <c r="F27" s="5">
        <v>14.51</v>
      </c>
      <c r="G27" s="10">
        <v>320.69</v>
      </c>
      <c r="H27" s="22">
        <f>SUM(B27:G27)</f>
        <v>1105.48</v>
      </c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6.53</v>
      </c>
      <c r="C30" s="12"/>
      <c r="D30" s="5"/>
      <c r="E30" s="5"/>
      <c r="F30" s="5"/>
      <c r="G30" s="5"/>
      <c r="H30" s="5"/>
      <c r="I30" s="5"/>
      <c r="J30" s="10"/>
      <c r="K30" s="21">
        <f>SUM(C30:J30)</f>
        <v>0</v>
      </c>
      <c r="L30" s="12">
        <f>B30+K30</f>
        <v>6.53</v>
      </c>
    </row>
    <row r="31" spans="1:16" ht="20.149999999999999" customHeight="1" x14ac:dyDescent="0.45">
      <c r="A31" s="9" t="s">
        <v>15</v>
      </c>
      <c r="B31" s="16">
        <v>65.300000000000011</v>
      </c>
      <c r="C31" s="12">
        <v>3.01</v>
      </c>
      <c r="D31" s="5"/>
      <c r="E31" s="5"/>
      <c r="F31" s="5">
        <v>3.35</v>
      </c>
      <c r="G31" s="5"/>
      <c r="H31" s="5"/>
      <c r="I31" s="5"/>
      <c r="J31" s="10"/>
      <c r="K31" s="36">
        <f>SUM(C31:J31)</f>
        <v>6.3599999999999994</v>
      </c>
      <c r="L31" s="12">
        <f>B31+K31</f>
        <v>71.660000000000011</v>
      </c>
    </row>
    <row r="32" spans="1:16" ht="20.149999999999999" customHeight="1" x14ac:dyDescent="0.45">
      <c r="A32" s="9" t="s">
        <v>16</v>
      </c>
      <c r="B32" s="16">
        <v>195.95999999999998</v>
      </c>
      <c r="C32" s="12">
        <v>4.6399999999999997</v>
      </c>
      <c r="D32" s="5">
        <v>2.16</v>
      </c>
      <c r="E32" s="5">
        <v>2.99</v>
      </c>
      <c r="F32" s="5">
        <v>12.89</v>
      </c>
      <c r="G32" s="5"/>
      <c r="H32" s="5"/>
      <c r="I32" s="5"/>
      <c r="J32" s="10">
        <v>0.95</v>
      </c>
      <c r="K32" s="21">
        <f>SUM(C32:J32)</f>
        <v>23.63</v>
      </c>
      <c r="L32" s="12">
        <f>B32+K32</f>
        <v>219.58999999999997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>B33+K33</f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29.99</v>
      </c>
      <c r="L34" s="19">
        <f>SUM(L30:L33)</f>
        <v>297.77999999999997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  <c r="K37" s="2" t="s">
        <v>62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2740.5200000000013</v>
      </c>
      <c r="C40" s="124" t="s">
        <v>45</v>
      </c>
      <c r="D40" s="124"/>
      <c r="E40" s="44">
        <v>2.08</v>
      </c>
      <c r="F40" s="33" t="s">
        <v>33</v>
      </c>
      <c r="G40" s="34"/>
      <c r="H40" s="39" t="s">
        <v>38</v>
      </c>
      <c r="I40" s="39">
        <f>E40+G40</f>
        <v>2.08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65</v>
      </c>
      <c r="J42" s="9" t="s">
        <v>64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1833.31</v>
      </c>
      <c r="C43" s="5">
        <v>172.92</v>
      </c>
      <c r="D43" s="5">
        <v>27.41</v>
      </c>
      <c r="E43" s="5">
        <v>5.29</v>
      </c>
      <c r="F43" s="5">
        <v>99.97</v>
      </c>
      <c r="G43" s="5"/>
      <c r="H43" s="54">
        <v>1.0900000000000001</v>
      </c>
      <c r="I43" s="5">
        <v>15.41</v>
      </c>
      <c r="J43" s="10">
        <v>22</v>
      </c>
      <c r="K43" s="26">
        <f>SUM(B43:J43)+L34+E37</f>
        <v>2491.8100000000004</v>
      </c>
      <c r="L43" s="27">
        <f>B40+H26-H27</f>
        <v>2487.2200000000016</v>
      </c>
      <c r="M43" s="29">
        <f>K43-L43-E40</f>
        <v>2.5099999999987812</v>
      </c>
    </row>
    <row r="44" spans="1:19" ht="20.149999999999999" customHeight="1" x14ac:dyDescent="0.45">
      <c r="M44" s="2">
        <f>M43-I40</f>
        <v>0.42999999999878113</v>
      </c>
    </row>
    <row r="48" spans="1:19" ht="20.149999999999999" customHeight="1" x14ac:dyDescent="0.45">
      <c r="Q48" s="122" t="s">
        <v>42</v>
      </c>
      <c r="R48" s="62" t="s">
        <v>43</v>
      </c>
      <c r="S48" s="62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62" t="s">
        <v>43</v>
      </c>
      <c r="S52" s="62" t="s">
        <v>40</v>
      </c>
      <c r="T52" s="62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44916-5060-4E06-BFD0-E85BF3CA9A8D}">
  <sheetPr codeName="Sheet21">
    <pageSetUpPr fitToPage="1"/>
  </sheetPr>
  <dimension ref="A1:T53"/>
  <sheetViews>
    <sheetView zoomScaleNormal="100" zoomScaleSheetLayoutView="100" workbookViewId="0">
      <selection activeCell="J38" sqref="F38:J38"/>
    </sheetView>
  </sheetViews>
  <sheetFormatPr defaultColWidth="9" defaultRowHeight="20.149999999999999" customHeight="1" x14ac:dyDescent="0.45"/>
  <cols>
    <col min="1" max="1" width="8.58203125" style="3" customWidth="1"/>
    <col min="2" max="2" width="9.83203125" style="2" bestFit="1" customWidth="1"/>
    <col min="3" max="7" width="8.58203125" style="2" customWidth="1"/>
    <col min="8" max="8" width="9.25" style="2" customWidth="1"/>
    <col min="9" max="9" width="9.83203125" style="2" bestFit="1" customWidth="1"/>
    <col min="10" max="11" width="8.58203125" style="2" customWidth="1"/>
    <col min="12" max="13" width="9.83203125" style="2" bestFit="1" customWidth="1"/>
    <col min="14" max="14" width="6.25" style="2" customWidth="1"/>
    <col min="15" max="15" width="8.58203125" style="1" customWidth="1"/>
    <col min="16" max="16" width="9" style="1"/>
    <col min="17" max="17" width="4" style="1" customWidth="1"/>
    <col min="18" max="20" width="7.58203125" style="1" customWidth="1"/>
    <col min="21" max="16384" width="9" style="1"/>
  </cols>
  <sheetData>
    <row r="1" spans="1:15" ht="111.75" customHeight="1" x14ac:dyDescent="0.45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5" ht="30" customHeight="1" x14ac:dyDescent="0.45">
      <c r="A2" s="126">
        <v>45925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5" ht="20.149999999999999" customHeight="1" thickBot="1" x14ac:dyDescent="0.5">
      <c r="A3" s="35" t="s">
        <v>1</v>
      </c>
    </row>
    <row r="4" spans="1:15" ht="20.149999999999999" customHeight="1" x14ac:dyDescent="0.45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66</v>
      </c>
      <c r="H4" s="9" t="s">
        <v>10</v>
      </c>
      <c r="I4" s="20" t="s">
        <v>11</v>
      </c>
      <c r="O4" s="2"/>
    </row>
    <row r="5" spans="1:15" ht="20.149999999999999" customHeight="1" x14ac:dyDescent="0.45">
      <c r="A5" s="4" t="s">
        <v>3</v>
      </c>
      <c r="B5" s="5">
        <v>7.02</v>
      </c>
      <c r="C5" s="5">
        <v>3851.35</v>
      </c>
      <c r="D5" s="5">
        <v>1266.6099999999999</v>
      </c>
      <c r="E5" s="5">
        <v>33.4</v>
      </c>
      <c r="F5" s="5">
        <v>339.74</v>
      </c>
      <c r="G5" s="10"/>
      <c r="H5" s="10">
        <v>3254.6</v>
      </c>
      <c r="I5" s="21">
        <f>SUM(B5:H5)</f>
        <v>8752.7199999999993</v>
      </c>
      <c r="O5" s="2"/>
    </row>
    <row r="6" spans="1:15" ht="20.149999999999999" customHeight="1" thickBot="1" x14ac:dyDescent="0.5">
      <c r="A6" s="4" t="s">
        <v>4</v>
      </c>
      <c r="B6" s="5">
        <v>3109.3</v>
      </c>
      <c r="C6" s="5">
        <v>1972.68</v>
      </c>
      <c r="D6" s="5">
        <v>348.35</v>
      </c>
      <c r="E6" s="5">
        <v>1510.64</v>
      </c>
      <c r="F6" s="5">
        <v>251.89</v>
      </c>
      <c r="G6" s="10">
        <v>638.07000000000005</v>
      </c>
      <c r="H6" s="10">
        <v>2880.41</v>
      </c>
      <c r="I6" s="22">
        <f>SUM(B6:H6)</f>
        <v>10711.34</v>
      </c>
      <c r="O6" s="2"/>
    </row>
    <row r="7" spans="1:15" ht="20.149999999999999" customHeight="1" thickBot="1" x14ac:dyDescent="0.5"/>
    <row r="8" spans="1:15" ht="20.149999999999999" customHeight="1" x14ac:dyDescent="0.45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5" ht="20.149999999999999" customHeight="1" x14ac:dyDescent="0.45">
      <c r="A9" s="9" t="s">
        <v>14</v>
      </c>
      <c r="B9" s="16">
        <v>87.679999999999978</v>
      </c>
      <c r="C9" s="12">
        <v>8.36</v>
      </c>
      <c r="D9" s="5"/>
      <c r="E9" s="5"/>
      <c r="F9" s="5">
        <v>9.69</v>
      </c>
      <c r="G9" s="5"/>
      <c r="H9" s="5"/>
      <c r="I9" s="5"/>
      <c r="J9" s="10"/>
      <c r="K9" s="21">
        <f>SUM(C9:J9)</f>
        <v>18.049999999999997</v>
      </c>
      <c r="L9" s="12">
        <f>B9+K9</f>
        <v>105.72999999999998</v>
      </c>
    </row>
    <row r="10" spans="1:15" ht="20.149999999999999" customHeight="1" x14ac:dyDescent="0.45">
      <c r="A10" s="9" t="s">
        <v>15</v>
      </c>
      <c r="B10" s="16">
        <v>594.12</v>
      </c>
      <c r="C10" s="12">
        <v>21.73</v>
      </c>
      <c r="D10" s="5">
        <v>16.920000000000002</v>
      </c>
      <c r="E10" s="5"/>
      <c r="F10" s="5"/>
      <c r="G10" s="5"/>
      <c r="H10" s="5">
        <v>9.27</v>
      </c>
      <c r="I10" s="5"/>
      <c r="J10" s="10"/>
      <c r="K10" s="21">
        <f>SUM(C10:J10)</f>
        <v>47.92</v>
      </c>
      <c r="L10" s="12">
        <f>B10+K10</f>
        <v>642.04</v>
      </c>
    </row>
    <row r="11" spans="1:15" ht="20.149999999999999" customHeight="1" x14ac:dyDescent="0.45">
      <c r="A11" s="9" t="s">
        <v>16</v>
      </c>
      <c r="B11" s="16">
        <v>1727.69</v>
      </c>
      <c r="C11" s="12">
        <v>21.02</v>
      </c>
      <c r="D11" s="5">
        <v>40.15</v>
      </c>
      <c r="E11" s="5">
        <v>14.06</v>
      </c>
      <c r="F11" s="5">
        <v>41.47</v>
      </c>
      <c r="G11" s="5">
        <v>5.79</v>
      </c>
      <c r="H11" s="5">
        <v>14.2</v>
      </c>
      <c r="I11" s="5">
        <v>1.01</v>
      </c>
      <c r="J11" s="10">
        <v>10.78</v>
      </c>
      <c r="K11" s="21">
        <f>SUM(C11:J11)</f>
        <v>148.47999999999999</v>
      </c>
      <c r="L11" s="12">
        <f>B11+K11</f>
        <v>1876.17</v>
      </c>
    </row>
    <row r="12" spans="1:15" ht="20.149999999999999" customHeight="1" thickBot="1" x14ac:dyDescent="0.5">
      <c r="A12" s="32" t="s">
        <v>11</v>
      </c>
      <c r="B12" s="18">
        <f t="shared" ref="B12:L12" si="0">SUM(B9:B11)</f>
        <v>2409.4899999999998</v>
      </c>
      <c r="C12" s="19">
        <f t="shared" si="0"/>
        <v>51.11</v>
      </c>
      <c r="D12" s="8">
        <f t="shared" si="0"/>
        <v>57.07</v>
      </c>
      <c r="E12" s="8">
        <f t="shared" si="0"/>
        <v>14.06</v>
      </c>
      <c r="F12" s="8">
        <f t="shared" si="0"/>
        <v>51.16</v>
      </c>
      <c r="G12" s="8">
        <f t="shared" si="0"/>
        <v>5.79</v>
      </c>
      <c r="H12" s="8">
        <f t="shared" si="0"/>
        <v>23.47</v>
      </c>
      <c r="I12" s="8">
        <f t="shared" si="0"/>
        <v>1.01</v>
      </c>
      <c r="J12" s="8">
        <f t="shared" si="0"/>
        <v>10.78</v>
      </c>
      <c r="K12" s="23">
        <f t="shared" si="0"/>
        <v>214.45</v>
      </c>
      <c r="L12" s="19">
        <f t="shared" si="0"/>
        <v>2623.94</v>
      </c>
    </row>
    <row r="13" spans="1:15" ht="20.149999999999999" customHeight="1" thickBot="1" x14ac:dyDescent="0.5"/>
    <row r="14" spans="1:15" ht="20.149999999999999" customHeight="1" x14ac:dyDescent="0.45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5" ht="20.149999999999999" customHeight="1" thickBot="1" x14ac:dyDescent="0.5">
      <c r="A15" s="9" t="s">
        <v>28</v>
      </c>
      <c r="B15" s="14">
        <v>49.580000000000013</v>
      </c>
      <c r="C15" s="12"/>
      <c r="D15" s="10"/>
      <c r="E15" s="22">
        <f>B15+C15-D15</f>
        <v>49.580000000000013</v>
      </c>
    </row>
    <row r="17" spans="1:16" ht="20.149999999999999" customHeight="1" x14ac:dyDescent="0.45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49999999999999" customHeight="1" x14ac:dyDescent="0.45">
      <c r="A18" s="33" t="s">
        <v>0</v>
      </c>
      <c r="B18" s="34">
        <v>16084.599999999999</v>
      </c>
      <c r="C18" s="124" t="s">
        <v>45</v>
      </c>
      <c r="D18" s="124"/>
      <c r="E18" s="44">
        <v>20.450000000000003</v>
      </c>
      <c r="F18" s="33" t="s">
        <v>33</v>
      </c>
      <c r="G18" s="34"/>
      <c r="H18" s="39" t="s">
        <v>38</v>
      </c>
      <c r="I18" s="39">
        <f>E18+G18</f>
        <v>20.450000000000003</v>
      </c>
      <c r="J18" s="6"/>
      <c r="K18" s="6"/>
      <c r="L18" s="6"/>
      <c r="M18" s="6"/>
      <c r="N18" s="6"/>
      <c r="O18" s="6"/>
      <c r="P18" s="2"/>
    </row>
    <row r="19" spans="1:16" ht="20.149999999999999" customHeight="1" thickBot="1" x14ac:dyDescent="0.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>
        <v>3500</v>
      </c>
      <c r="J19" s="8">
        <v>1500</v>
      </c>
      <c r="K19" s="15">
        <v>638.07000000000005</v>
      </c>
      <c r="L19" s="15"/>
      <c r="M19" s="8"/>
      <c r="N19" s="15"/>
    </row>
    <row r="20" spans="1:16" ht="20.149999999999999" customHeight="1" x14ac:dyDescent="0.45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65</v>
      </c>
      <c r="K20" s="9" t="s">
        <v>64</v>
      </c>
      <c r="L20" s="24" t="s">
        <v>30</v>
      </c>
      <c r="M20" s="25" t="s">
        <v>31</v>
      </c>
      <c r="N20" s="28" t="s">
        <v>32</v>
      </c>
      <c r="O20" s="2"/>
    </row>
    <row r="21" spans="1:16" ht="20.149999999999999" customHeight="1" thickBot="1" x14ac:dyDescent="0.5">
      <c r="A21" s="4" t="s">
        <v>28</v>
      </c>
      <c r="B21" s="5">
        <f>C19+D19+E19+F19-I19-J19-K19-L19</f>
        <v>7440.8099999999995</v>
      </c>
      <c r="C21" s="5">
        <v>1699.05</v>
      </c>
      <c r="D21" s="5">
        <v>1269.67</v>
      </c>
      <c r="E21" s="5">
        <v>134.34</v>
      </c>
      <c r="F21" s="5">
        <v>698.17</v>
      </c>
      <c r="G21" s="5">
        <v>0.48</v>
      </c>
      <c r="H21" s="5">
        <v>3.25</v>
      </c>
      <c r="I21" s="5">
        <v>4.8</v>
      </c>
      <c r="J21" s="5">
        <v>167.8</v>
      </c>
      <c r="K21" s="10">
        <v>63</v>
      </c>
      <c r="L21" s="26">
        <f>B21+C21+D21+E21+F21+G21+H21+J21+K21+L12+E15+I21</f>
        <v>14154.889999999998</v>
      </c>
      <c r="M21" s="27">
        <f>B18+I5-I6</f>
        <v>14125.98</v>
      </c>
      <c r="N21" s="29">
        <f>L21-M21-G18</f>
        <v>28.909999999998035</v>
      </c>
      <c r="O21" s="2"/>
    </row>
    <row r="22" spans="1:16" ht="20.149999999999999" customHeight="1" x14ac:dyDescent="0.45">
      <c r="M22" s="53"/>
      <c r="N22" s="53">
        <f>N21-I18</f>
        <v>8.4599999999980326</v>
      </c>
      <c r="O22" s="2"/>
    </row>
    <row r="23" spans="1:16" ht="20.149999999999999" customHeight="1" x14ac:dyDescent="0.4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49999999999999" customHeight="1" thickBot="1" x14ac:dyDescent="0.5">
      <c r="A24" s="35" t="s">
        <v>12</v>
      </c>
    </row>
    <row r="25" spans="1:16" ht="20.149999999999999" customHeight="1" x14ac:dyDescent="0.45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66</v>
      </c>
      <c r="H25" s="9" t="s">
        <v>10</v>
      </c>
      <c r="I25" s="20" t="s">
        <v>11</v>
      </c>
      <c r="O25" s="2"/>
    </row>
    <row r="26" spans="1:16" ht="20.149999999999999" customHeight="1" x14ac:dyDescent="0.45">
      <c r="A26" s="4" t="s">
        <v>3</v>
      </c>
      <c r="B26" s="5">
        <v>0.59</v>
      </c>
      <c r="C26" s="5">
        <v>335.33</v>
      </c>
      <c r="D26" s="5">
        <v>165.97</v>
      </c>
      <c r="E26" s="5"/>
      <c r="F26" s="5">
        <v>2.62</v>
      </c>
      <c r="G26" s="10"/>
      <c r="H26" s="10">
        <v>90.73</v>
      </c>
      <c r="I26" s="21">
        <f>SUM(B26:H26)</f>
        <v>595.24</v>
      </c>
      <c r="O26" s="2"/>
    </row>
    <row r="27" spans="1:16" ht="20.149999999999999" customHeight="1" thickBot="1" x14ac:dyDescent="0.5">
      <c r="A27" s="4" t="s">
        <v>4</v>
      </c>
      <c r="B27" s="5">
        <v>65.61</v>
      </c>
      <c r="C27" s="5">
        <v>75.849999999999994</v>
      </c>
      <c r="D27" s="5">
        <v>67</v>
      </c>
      <c r="E27" s="5"/>
      <c r="F27" s="5">
        <v>2.85</v>
      </c>
      <c r="G27" s="10">
        <v>90.53</v>
      </c>
      <c r="H27" s="10">
        <v>92.89</v>
      </c>
      <c r="I27" s="22">
        <f>SUM(B27:H27)</f>
        <v>394.72999999999996</v>
      </c>
      <c r="O27" s="2"/>
    </row>
    <row r="28" spans="1:16" ht="20.149999999999999" customHeight="1" thickBot="1" x14ac:dyDescent="0.5"/>
    <row r="29" spans="1:16" ht="20.149999999999999" customHeight="1" x14ac:dyDescent="0.45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49999999999999" customHeight="1" x14ac:dyDescent="0.45">
      <c r="A30" s="9" t="s">
        <v>14</v>
      </c>
      <c r="B30" s="16">
        <v>6.53</v>
      </c>
      <c r="C30" s="12"/>
      <c r="D30" s="5"/>
      <c r="E30" s="5">
        <v>0.22</v>
      </c>
      <c r="F30" s="5"/>
      <c r="G30" s="5"/>
      <c r="H30" s="5"/>
      <c r="I30" s="5"/>
      <c r="J30" s="10"/>
      <c r="K30" s="21">
        <f>SUM(C30:J30)</f>
        <v>0.22</v>
      </c>
      <c r="L30" s="12">
        <f>B30+K30</f>
        <v>6.75</v>
      </c>
    </row>
    <row r="31" spans="1:16" ht="20.149999999999999" customHeight="1" x14ac:dyDescent="0.45">
      <c r="A31" s="9" t="s">
        <v>15</v>
      </c>
      <c r="B31" s="16">
        <v>71.660000000000011</v>
      </c>
      <c r="C31" s="12">
        <v>3.49</v>
      </c>
      <c r="D31" s="5"/>
      <c r="E31" s="5"/>
      <c r="F31" s="5">
        <v>1.1399999999999999</v>
      </c>
      <c r="G31" s="5"/>
      <c r="H31" s="5"/>
      <c r="I31" s="5"/>
      <c r="J31" s="10"/>
      <c r="K31" s="36">
        <f>SUM(C31:J31)</f>
        <v>4.63</v>
      </c>
      <c r="L31" s="12">
        <f>B31+K31</f>
        <v>76.290000000000006</v>
      </c>
    </row>
    <row r="32" spans="1:16" ht="20.149999999999999" customHeight="1" x14ac:dyDescent="0.45">
      <c r="A32" s="9" t="s">
        <v>16</v>
      </c>
      <c r="B32" s="16">
        <v>219.58999999999997</v>
      </c>
      <c r="C32" s="12">
        <v>1.29</v>
      </c>
      <c r="D32" s="5"/>
      <c r="E32" s="5">
        <v>1.28</v>
      </c>
      <c r="F32" s="5">
        <v>5.04</v>
      </c>
      <c r="G32" s="5"/>
      <c r="H32" s="5"/>
      <c r="I32" s="5"/>
      <c r="J32" s="10">
        <v>1.0900000000000001</v>
      </c>
      <c r="K32" s="21">
        <f>SUM(C32:J32)</f>
        <v>8.7000000000000011</v>
      </c>
      <c r="L32" s="12">
        <f>B32+K32</f>
        <v>228.28999999999996</v>
      </c>
    </row>
    <row r="33" spans="1:19" ht="20.149999999999999" customHeight="1" x14ac:dyDescent="0.45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>B33+K33</f>
        <v>0</v>
      </c>
    </row>
    <row r="34" spans="1:19" ht="20.149999999999999" customHeight="1" thickBot="1" x14ac:dyDescent="0.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13.55</v>
      </c>
      <c r="L34" s="19">
        <f>SUM(L30:L33)</f>
        <v>311.33</v>
      </c>
    </row>
    <row r="35" spans="1:19" ht="20.149999999999999" customHeight="1" thickBot="1" x14ac:dyDescent="0.5"/>
    <row r="36" spans="1:19" ht="20.149999999999999" customHeight="1" x14ac:dyDescent="0.45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49999999999999" customHeight="1" thickBot="1" x14ac:dyDescent="0.5">
      <c r="A37" s="9" t="s">
        <v>28</v>
      </c>
      <c r="B37" s="14">
        <v>16.63</v>
      </c>
      <c r="C37" s="12"/>
      <c r="D37" s="10"/>
      <c r="E37" s="22">
        <f>B37+C37-D37</f>
        <v>16.63</v>
      </c>
      <c r="K37" s="2" t="s">
        <v>62</v>
      </c>
    </row>
    <row r="39" spans="1:19" ht="20.149999999999999" customHeight="1" x14ac:dyDescent="0.45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49999999999999" customHeight="1" x14ac:dyDescent="0.45">
      <c r="A40" s="33" t="s">
        <v>0</v>
      </c>
      <c r="B40" s="34">
        <v>2487.2200000000016</v>
      </c>
      <c r="C40" s="124" t="s">
        <v>45</v>
      </c>
      <c r="D40" s="124"/>
      <c r="E40" s="44">
        <v>2.08</v>
      </c>
      <c r="F40" s="33" t="s">
        <v>33</v>
      </c>
      <c r="G40" s="34"/>
      <c r="H40" s="39" t="s">
        <v>38</v>
      </c>
      <c r="I40" s="39">
        <f>E40+G40</f>
        <v>2.08</v>
      </c>
      <c r="J40" s="6"/>
      <c r="K40" s="6"/>
      <c r="L40" s="6"/>
      <c r="M40" s="6"/>
    </row>
    <row r="41" spans="1:19" ht="20.149999999999999" customHeight="1" thickBot="1" x14ac:dyDescent="0.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>
        <v>90.53</v>
      </c>
      <c r="J41" s="8"/>
      <c r="K41" s="15"/>
      <c r="L41" s="15"/>
      <c r="M41" s="8"/>
    </row>
    <row r="42" spans="1:19" ht="20.149999999999999" customHeight="1" x14ac:dyDescent="0.45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65</v>
      </c>
      <c r="J42" s="9" t="s">
        <v>64</v>
      </c>
      <c r="K42" s="24" t="s">
        <v>30</v>
      </c>
      <c r="L42" s="25" t="s">
        <v>31</v>
      </c>
      <c r="M42" s="28" t="s">
        <v>32</v>
      </c>
    </row>
    <row r="43" spans="1:19" ht="20.149999999999999" customHeight="1" thickBot="1" x14ac:dyDescent="0.5">
      <c r="A43" s="4" t="s">
        <v>28</v>
      </c>
      <c r="B43" s="5">
        <f>C41+D41+E41+F41-I41-J41-K41-L41</f>
        <v>1742.78</v>
      </c>
      <c r="C43" s="5">
        <v>380.33</v>
      </c>
      <c r="D43" s="5">
        <v>108.5</v>
      </c>
      <c r="E43" s="5">
        <v>17.329999999999998</v>
      </c>
      <c r="F43" s="5">
        <v>76.88</v>
      </c>
      <c r="G43" s="5">
        <v>0.04</v>
      </c>
      <c r="H43" s="54">
        <v>1.07</v>
      </c>
      <c r="I43" s="5">
        <v>15.41</v>
      </c>
      <c r="J43" s="10">
        <v>22</v>
      </c>
      <c r="K43" s="26">
        <f>SUM(B43:J43)+L34+E37</f>
        <v>2692.3</v>
      </c>
      <c r="L43" s="27">
        <f>B40+I26-I27</f>
        <v>2687.7300000000018</v>
      </c>
      <c r="M43" s="29">
        <f>K43-L43-E40</f>
        <v>2.4899999999983446</v>
      </c>
    </row>
    <row r="44" spans="1:19" ht="20.149999999999999" customHeight="1" x14ac:dyDescent="0.45">
      <c r="M44" s="2">
        <f>M43-I40</f>
        <v>0.40999999999834458</v>
      </c>
    </row>
    <row r="48" spans="1:19" ht="20.149999999999999" customHeight="1" x14ac:dyDescent="0.45">
      <c r="Q48" s="122" t="s">
        <v>42</v>
      </c>
      <c r="R48" s="63" t="s">
        <v>43</v>
      </c>
      <c r="S48" s="63" t="s">
        <v>39</v>
      </c>
    </row>
    <row r="49" spans="17:20" ht="35.15" customHeight="1" x14ac:dyDescent="0.45">
      <c r="Q49" s="123"/>
      <c r="R49" s="42"/>
      <c r="S49" s="42"/>
    </row>
    <row r="52" spans="17:20" ht="20.149999999999999" customHeight="1" x14ac:dyDescent="0.45">
      <c r="Q52" s="122" t="s">
        <v>42</v>
      </c>
      <c r="R52" s="63" t="s">
        <v>43</v>
      </c>
      <c r="S52" s="63" t="s">
        <v>40</v>
      </c>
      <c r="T52" s="63" t="s">
        <v>41</v>
      </c>
    </row>
    <row r="53" spans="17:20" ht="35.15" customHeight="1" x14ac:dyDescent="0.45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C052E-994A-48E6-89D9-7916F82E4D6D}">
  <sheetPr codeName="Sheet29">
    <pageSetUpPr fitToPage="1"/>
  </sheetPr>
  <dimension ref="A1:T63"/>
  <sheetViews>
    <sheetView tabSelected="1" topLeftCell="A10" zoomScaleNormal="100" zoomScaleSheetLayoutView="100" workbookViewId="0">
      <selection activeCell="M32" sqref="M32"/>
    </sheetView>
  </sheetViews>
  <sheetFormatPr defaultColWidth="9" defaultRowHeight="20.149999999999999" customHeight="1" x14ac:dyDescent="0.45"/>
  <cols>
    <col min="1" max="1" width="9.83203125" style="68" customWidth="1"/>
    <col min="2" max="14" width="9.83203125" style="64" customWidth="1"/>
    <col min="15" max="15" width="9.83203125" style="65" customWidth="1"/>
    <col min="16" max="16" width="9" style="65"/>
    <col min="17" max="17" width="4" style="65" customWidth="1"/>
    <col min="18" max="20" width="7.58203125" style="65" customWidth="1"/>
    <col min="21" max="16384" width="9" style="65"/>
  </cols>
  <sheetData>
    <row r="1" spans="1:16" ht="111.75" customHeight="1" x14ac:dyDescent="0.45">
      <c r="A1" s="130" t="s">
        <v>61</v>
      </c>
      <c r="B1" s="131"/>
      <c r="C1" s="131"/>
      <c r="D1" s="131"/>
      <c r="E1" s="131"/>
      <c r="F1" s="131"/>
      <c r="G1" s="131"/>
      <c r="H1" s="131"/>
      <c r="I1" s="85"/>
      <c r="J1" s="85"/>
      <c r="K1" s="85"/>
      <c r="L1" s="85"/>
      <c r="M1" s="85"/>
    </row>
    <row r="2" spans="1:16" ht="30" customHeight="1" x14ac:dyDescent="0.45">
      <c r="A2" s="132">
        <v>46174</v>
      </c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64" t="s">
        <v>58</v>
      </c>
    </row>
    <row r="3" spans="1:16" ht="20.149999999999999" customHeight="1" thickBot="1" x14ac:dyDescent="0.5">
      <c r="A3" s="86" t="s">
        <v>1</v>
      </c>
    </row>
    <row r="4" spans="1:16" ht="20.149999999999999" customHeight="1" x14ac:dyDescent="0.45">
      <c r="A4" s="87" t="s">
        <v>2</v>
      </c>
      <c r="B4" s="88" t="s">
        <v>5</v>
      </c>
      <c r="C4" s="88" t="s">
        <v>70</v>
      </c>
      <c r="D4" s="88" t="s">
        <v>71</v>
      </c>
      <c r="E4" s="88" t="s">
        <v>7</v>
      </c>
      <c r="F4" s="88" t="s">
        <v>8</v>
      </c>
      <c r="G4" s="88" t="s">
        <v>9</v>
      </c>
      <c r="H4" s="89" t="s">
        <v>66</v>
      </c>
      <c r="I4" s="89" t="s">
        <v>10</v>
      </c>
      <c r="J4" s="90" t="s">
        <v>11</v>
      </c>
      <c r="O4" s="64"/>
      <c r="P4" s="64"/>
    </row>
    <row r="5" spans="1:16" ht="20.149999999999999" customHeight="1" x14ac:dyDescent="0.45">
      <c r="A5" s="88" t="s">
        <v>3</v>
      </c>
      <c r="B5" s="66"/>
      <c r="C5" s="66"/>
      <c r="D5" s="66"/>
      <c r="E5" s="66"/>
      <c r="F5" s="66"/>
      <c r="G5" s="66"/>
      <c r="H5" s="67"/>
      <c r="I5" s="67"/>
      <c r="J5" s="91">
        <f>B5+C5+D5+E5+F5+G5+H5+I5</f>
        <v>0</v>
      </c>
      <c r="O5" s="64"/>
      <c r="P5" s="64"/>
    </row>
    <row r="6" spans="1:16" ht="20.149999999999999" customHeight="1" thickBot="1" x14ac:dyDescent="0.5">
      <c r="A6" s="88" t="s">
        <v>4</v>
      </c>
      <c r="B6" s="66"/>
      <c r="C6" s="66"/>
      <c r="D6" s="66"/>
      <c r="E6" s="66"/>
      <c r="F6" s="66"/>
      <c r="G6" s="66"/>
      <c r="H6" s="67"/>
      <c r="I6" s="67"/>
      <c r="J6" s="92">
        <f>SUM(B6:I6)</f>
        <v>0</v>
      </c>
      <c r="O6" s="64"/>
      <c r="P6" s="64"/>
    </row>
    <row r="7" spans="1:16" ht="20.149999999999999" customHeight="1" thickBot="1" x14ac:dyDescent="0.5">
      <c r="H7" s="119"/>
    </row>
    <row r="8" spans="1:16" ht="20.149999999999999" customHeight="1" x14ac:dyDescent="0.45">
      <c r="A8" s="93" t="s">
        <v>13</v>
      </c>
      <c r="B8" s="94" t="s">
        <v>25</v>
      </c>
      <c r="C8" s="98" t="s">
        <v>49</v>
      </c>
      <c r="D8" s="88" t="s">
        <v>46</v>
      </c>
      <c r="E8" s="88" t="s">
        <v>50</v>
      </c>
      <c r="F8" s="88" t="s">
        <v>51</v>
      </c>
      <c r="G8" s="88" t="s">
        <v>52</v>
      </c>
      <c r="H8" s="88" t="s">
        <v>53</v>
      </c>
      <c r="I8" s="88" t="s">
        <v>57</v>
      </c>
      <c r="J8" s="89" t="s">
        <v>23</v>
      </c>
      <c r="K8" s="89" t="s">
        <v>67</v>
      </c>
      <c r="L8" s="90" t="s">
        <v>11</v>
      </c>
      <c r="M8" s="98" t="s">
        <v>26</v>
      </c>
      <c r="O8" s="64"/>
    </row>
    <row r="9" spans="1:16" ht="20.149999999999999" customHeight="1" x14ac:dyDescent="0.45">
      <c r="A9" s="89" t="s">
        <v>14</v>
      </c>
      <c r="B9" s="95"/>
      <c r="C9" s="69"/>
      <c r="D9" s="66"/>
      <c r="E9" s="66"/>
      <c r="F9" s="66"/>
      <c r="G9" s="66"/>
      <c r="H9" s="66"/>
      <c r="I9" s="66"/>
      <c r="J9" s="67"/>
      <c r="K9" s="67"/>
      <c r="L9" s="91">
        <f>SUM(C9:J9)-K9</f>
        <v>0</v>
      </c>
      <c r="M9" s="102">
        <f>B9+L9</f>
        <v>0</v>
      </c>
      <c r="O9" s="64"/>
    </row>
    <row r="10" spans="1:16" ht="20.149999999999999" customHeight="1" x14ac:dyDescent="0.45">
      <c r="A10" s="89" t="s">
        <v>15</v>
      </c>
      <c r="B10" s="95"/>
      <c r="C10" s="69"/>
      <c r="D10" s="66"/>
      <c r="E10" s="66"/>
      <c r="F10" s="66"/>
      <c r="G10" s="66"/>
      <c r="H10" s="66"/>
      <c r="I10" s="66"/>
      <c r="J10" s="67"/>
      <c r="K10" s="67"/>
      <c r="L10" s="91">
        <f>SUM(C10:J10)-K10</f>
        <v>0</v>
      </c>
      <c r="M10" s="102">
        <f>B10+L10</f>
        <v>0</v>
      </c>
      <c r="O10" s="64"/>
    </row>
    <row r="11" spans="1:16" ht="20.149999999999999" customHeight="1" x14ac:dyDescent="0.45">
      <c r="A11" s="89" t="s">
        <v>16</v>
      </c>
      <c r="B11" s="95"/>
      <c r="C11" s="69"/>
      <c r="D11" s="66"/>
      <c r="E11" s="66"/>
      <c r="F11" s="66"/>
      <c r="G11" s="66"/>
      <c r="H11" s="66"/>
      <c r="I11" s="66"/>
      <c r="J11" s="67"/>
      <c r="K11" s="67"/>
      <c r="L11" s="91">
        <f t="shared" ref="L11" si="0">SUM(C11:J11)-K11</f>
        <v>0</v>
      </c>
      <c r="M11" s="102">
        <f>B11+L11</f>
        <v>0</v>
      </c>
      <c r="O11" s="64"/>
    </row>
    <row r="12" spans="1:16" ht="20.149999999999999" customHeight="1" thickBot="1" x14ac:dyDescent="0.5">
      <c r="A12" s="96" t="s">
        <v>11</v>
      </c>
      <c r="B12" s="97">
        <f t="shared" ref="B12:K12" si="1">SUM(B9:B11)</f>
        <v>0</v>
      </c>
      <c r="C12" s="99">
        <f t="shared" si="1"/>
        <v>0</v>
      </c>
      <c r="D12" s="100">
        <f t="shared" si="1"/>
        <v>0</v>
      </c>
      <c r="E12" s="100">
        <f t="shared" si="1"/>
        <v>0</v>
      </c>
      <c r="F12" s="100">
        <f t="shared" si="1"/>
        <v>0</v>
      </c>
      <c r="G12" s="100">
        <f t="shared" si="1"/>
        <v>0</v>
      </c>
      <c r="H12" s="100">
        <f t="shared" si="1"/>
        <v>0</v>
      </c>
      <c r="I12" s="100">
        <f t="shared" si="1"/>
        <v>0</v>
      </c>
      <c r="J12" s="100">
        <f t="shared" si="1"/>
        <v>0</v>
      </c>
      <c r="K12" s="100">
        <f t="shared" si="1"/>
        <v>0</v>
      </c>
      <c r="L12" s="101">
        <f>SUM(L9:L11)</f>
        <v>0</v>
      </c>
      <c r="M12" s="99">
        <f>SUM(M9:M11)</f>
        <v>0</v>
      </c>
      <c r="O12" s="64"/>
    </row>
    <row r="13" spans="1:16" ht="20.149999999999999" customHeight="1" thickBot="1" x14ac:dyDescent="0.5">
      <c r="H13" s="103" t="s">
        <v>25</v>
      </c>
      <c r="I13" s="103"/>
      <c r="J13" s="103" t="s">
        <v>72</v>
      </c>
      <c r="K13" s="104">
        <f>I13+K12</f>
        <v>0</v>
      </c>
    </row>
    <row r="14" spans="1:16" ht="20.149999999999999" customHeight="1" x14ac:dyDescent="0.45">
      <c r="A14" s="89" t="s">
        <v>24</v>
      </c>
      <c r="B14" s="94" t="s">
        <v>0</v>
      </c>
      <c r="C14" s="98" t="s">
        <v>3</v>
      </c>
      <c r="D14" s="89" t="s">
        <v>4</v>
      </c>
      <c r="E14" s="90" t="s">
        <v>11</v>
      </c>
    </row>
    <row r="15" spans="1:16" ht="20.149999999999999" customHeight="1" thickBot="1" x14ac:dyDescent="0.5">
      <c r="A15" s="89" t="s">
        <v>28</v>
      </c>
      <c r="B15" s="105"/>
      <c r="C15" s="69"/>
      <c r="D15" s="67"/>
      <c r="E15" s="92">
        <f>B15+C15-D15</f>
        <v>0</v>
      </c>
      <c r="G15" s="119"/>
    </row>
    <row r="17" spans="1:16" ht="20.149999999999999" customHeight="1" x14ac:dyDescent="0.45">
      <c r="A17" s="131" t="s">
        <v>36</v>
      </c>
      <c r="B17" s="131"/>
      <c r="C17" s="131"/>
      <c r="D17" s="131"/>
      <c r="E17" s="131"/>
      <c r="F17" s="131"/>
      <c r="G17" s="131"/>
      <c r="H17" s="131"/>
      <c r="I17" s="131"/>
      <c r="J17" s="131"/>
      <c r="K17" s="131"/>
      <c r="L17" s="131"/>
      <c r="M17" s="131"/>
    </row>
    <row r="18" spans="1:16" ht="20.149999999999999" customHeight="1" x14ac:dyDescent="0.45">
      <c r="A18" s="106" t="s">
        <v>0</v>
      </c>
      <c r="B18" s="107"/>
      <c r="C18" s="133"/>
      <c r="D18" s="133"/>
      <c r="E18" s="73"/>
      <c r="F18" s="71"/>
      <c r="G18" s="72"/>
      <c r="H18" s="74"/>
      <c r="I18" s="74"/>
      <c r="J18" s="75"/>
      <c r="K18" s="108" t="s">
        <v>68</v>
      </c>
      <c r="L18" s="75"/>
      <c r="N18" s="65"/>
    </row>
    <row r="19" spans="1:16" ht="20.149999999999999" customHeight="1" x14ac:dyDescent="0.45">
      <c r="A19" s="109" t="s">
        <v>34</v>
      </c>
      <c r="B19" s="109" t="s">
        <v>29</v>
      </c>
      <c r="C19" s="70"/>
      <c r="D19" s="70"/>
      <c r="E19" s="70"/>
      <c r="F19" s="70"/>
      <c r="G19" s="70"/>
      <c r="H19" s="109" t="s">
        <v>35</v>
      </c>
      <c r="I19" s="70"/>
      <c r="J19" s="70"/>
      <c r="K19" s="76"/>
      <c r="L19" s="76"/>
      <c r="M19" s="65"/>
      <c r="N19" s="65"/>
    </row>
    <row r="20" spans="1:16" ht="20.149999999999999" customHeight="1" x14ac:dyDescent="0.45">
      <c r="A20" s="88" t="s">
        <v>1</v>
      </c>
      <c r="B20" s="88" t="s">
        <v>27</v>
      </c>
      <c r="C20" s="88" t="s">
        <v>70</v>
      </c>
      <c r="D20" s="88" t="s">
        <v>71</v>
      </c>
      <c r="E20" s="88" t="s">
        <v>19</v>
      </c>
      <c r="F20" s="88" t="s">
        <v>52</v>
      </c>
      <c r="G20" s="88" t="s">
        <v>55</v>
      </c>
      <c r="H20" s="88" t="s">
        <v>54</v>
      </c>
      <c r="I20" s="88" t="s">
        <v>59</v>
      </c>
      <c r="J20" s="88" t="s">
        <v>60</v>
      </c>
      <c r="K20" s="88" t="s">
        <v>65</v>
      </c>
      <c r="L20" s="88" t="s">
        <v>64</v>
      </c>
      <c r="N20" s="65"/>
    </row>
    <row r="21" spans="1:16" ht="20.149999999999999" customHeight="1" x14ac:dyDescent="0.45">
      <c r="A21" s="88" t="s">
        <v>28</v>
      </c>
      <c r="B21" s="110">
        <f>C19+D19+E19+F19-I19-J19-K19-L19</f>
        <v>0</v>
      </c>
      <c r="C21" s="66"/>
      <c r="D21" s="66"/>
      <c r="E21" s="66"/>
      <c r="F21" s="66"/>
      <c r="G21" s="66"/>
      <c r="H21" s="66"/>
      <c r="I21" s="66"/>
      <c r="J21" s="66"/>
      <c r="K21" s="66"/>
      <c r="L21" s="66"/>
      <c r="N21" s="65"/>
    </row>
    <row r="22" spans="1:16" ht="20.149999999999999" customHeight="1" thickBot="1" x14ac:dyDescent="0.5">
      <c r="A22" s="77"/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3"/>
      <c r="N22" s="73"/>
      <c r="O22" s="78"/>
      <c r="P22" s="64"/>
    </row>
    <row r="23" spans="1:16" ht="20.149999999999999" customHeight="1" x14ac:dyDescent="0.45">
      <c r="A23" s="111" t="s">
        <v>30</v>
      </c>
      <c r="B23" s="113" t="s">
        <v>31</v>
      </c>
      <c r="C23" s="115" t="s">
        <v>32</v>
      </c>
      <c r="D23" s="75"/>
      <c r="E23" s="75"/>
      <c r="F23" s="75"/>
      <c r="G23" s="75"/>
      <c r="H23" s="75"/>
      <c r="I23" s="75"/>
      <c r="J23" s="75"/>
      <c r="K23" s="75"/>
      <c r="L23" s="75"/>
      <c r="M23" s="73"/>
      <c r="N23" s="73"/>
      <c r="O23" s="78"/>
      <c r="P23" s="64"/>
    </row>
    <row r="24" spans="1:16" ht="20.149999999999999" customHeight="1" thickBot="1" x14ac:dyDescent="0.5">
      <c r="A24" s="112">
        <f>SUM(B21:L21)+M12+E15</f>
        <v>0</v>
      </c>
      <c r="B24" s="114">
        <f>B18+J5-J6</f>
        <v>0</v>
      </c>
      <c r="C24" s="116">
        <f>A24-B24</f>
        <v>0</v>
      </c>
      <c r="D24" s="75"/>
      <c r="E24" s="75"/>
      <c r="F24" s="75"/>
      <c r="G24" s="75"/>
      <c r="H24" s="75"/>
      <c r="I24" s="75"/>
      <c r="J24" s="75"/>
      <c r="K24" s="75"/>
      <c r="L24" s="75"/>
      <c r="M24" s="73"/>
      <c r="N24" s="73"/>
      <c r="O24" s="78"/>
      <c r="P24" s="64"/>
    </row>
    <row r="25" spans="1:16" ht="20.149999999999999" customHeight="1" x14ac:dyDescent="0.45">
      <c r="A25" s="77"/>
      <c r="B25" s="75"/>
      <c r="C25" s="75"/>
      <c r="D25" s="75"/>
      <c r="E25" s="75"/>
      <c r="F25" s="75"/>
      <c r="G25" s="75"/>
      <c r="H25" s="75"/>
      <c r="I25" s="75"/>
      <c r="J25" s="75"/>
      <c r="K25" s="121"/>
      <c r="L25" s="75"/>
      <c r="M25" s="73"/>
      <c r="N25" s="73"/>
      <c r="O25" s="78"/>
      <c r="P25" s="64"/>
    </row>
    <row r="26" spans="1:16" ht="20.149999999999999" customHeight="1" x14ac:dyDescent="0.45">
      <c r="A26" s="79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75"/>
      <c r="O26" s="81"/>
    </row>
    <row r="27" spans="1:16" ht="20.149999999999999" customHeight="1" thickBot="1" x14ac:dyDescent="0.5">
      <c r="A27" s="86" t="s">
        <v>12</v>
      </c>
    </row>
    <row r="28" spans="1:16" ht="20.149999999999999" customHeight="1" x14ac:dyDescent="0.45">
      <c r="A28" s="87" t="s">
        <v>2</v>
      </c>
      <c r="B28" s="88" t="s">
        <v>5</v>
      </c>
      <c r="C28" s="88" t="s">
        <v>6</v>
      </c>
      <c r="D28" s="88" t="s">
        <v>7</v>
      </c>
      <c r="E28" s="88" t="s">
        <v>8</v>
      </c>
      <c r="F28" s="88" t="s">
        <v>9</v>
      </c>
      <c r="G28" s="89" t="s">
        <v>66</v>
      </c>
      <c r="H28" s="89" t="s">
        <v>10</v>
      </c>
      <c r="I28" s="90" t="s">
        <v>11</v>
      </c>
      <c r="O28" s="64"/>
    </row>
    <row r="29" spans="1:16" ht="20.149999999999999" customHeight="1" x14ac:dyDescent="0.45">
      <c r="A29" s="88" t="s">
        <v>3</v>
      </c>
      <c r="B29" s="66"/>
      <c r="C29" s="66"/>
      <c r="D29" s="66"/>
      <c r="E29" s="66"/>
      <c r="F29" s="66"/>
      <c r="G29" s="67"/>
      <c r="H29" s="67"/>
      <c r="I29" s="91">
        <f>B29+C29+D29+E29+F29+G29+H29</f>
        <v>0</v>
      </c>
      <c r="O29" s="64"/>
    </row>
    <row r="30" spans="1:16" ht="20.149999999999999" customHeight="1" thickBot="1" x14ac:dyDescent="0.5">
      <c r="A30" s="88" t="s">
        <v>4</v>
      </c>
      <c r="B30" s="66"/>
      <c r="C30" s="66"/>
      <c r="D30" s="66"/>
      <c r="E30" s="66"/>
      <c r="F30" s="66"/>
      <c r="G30" s="67"/>
      <c r="H30" s="67"/>
      <c r="I30" s="92">
        <f>B30+C30+D30+E30+F30+G30+H30</f>
        <v>0</v>
      </c>
      <c r="O30" s="64"/>
    </row>
    <row r="31" spans="1:16" ht="20.149999999999999" customHeight="1" thickBot="1" x14ac:dyDescent="0.5">
      <c r="G31" s="119"/>
    </row>
    <row r="32" spans="1:16" ht="20.149999999999999" customHeight="1" x14ac:dyDescent="0.45">
      <c r="A32" s="93" t="s">
        <v>13</v>
      </c>
      <c r="B32" s="94" t="s">
        <v>25</v>
      </c>
      <c r="C32" s="98" t="s">
        <v>18</v>
      </c>
      <c r="D32" s="88" t="s">
        <v>52</v>
      </c>
      <c r="E32" s="88" t="s">
        <v>19</v>
      </c>
      <c r="F32" s="88" t="s">
        <v>56</v>
      </c>
      <c r="G32" s="88" t="s">
        <v>21</v>
      </c>
      <c r="H32" s="88" t="s">
        <v>17</v>
      </c>
      <c r="I32" s="88" t="s">
        <v>17</v>
      </c>
      <c r="J32" s="89" t="s">
        <v>23</v>
      </c>
      <c r="K32" s="89" t="s">
        <v>67</v>
      </c>
      <c r="L32" s="90" t="s">
        <v>11</v>
      </c>
      <c r="M32" s="98" t="s">
        <v>26</v>
      </c>
      <c r="O32" s="64"/>
    </row>
    <row r="33" spans="1:15" ht="20.149999999999999" customHeight="1" x14ac:dyDescent="0.45">
      <c r="A33" s="89" t="s">
        <v>14</v>
      </c>
      <c r="B33" s="95"/>
      <c r="C33" s="69"/>
      <c r="D33" s="66"/>
      <c r="E33" s="66"/>
      <c r="F33" s="66"/>
      <c r="G33" s="66"/>
      <c r="H33" s="66"/>
      <c r="I33" s="66"/>
      <c r="J33" s="67"/>
      <c r="K33" s="67"/>
      <c r="L33" s="91">
        <f>SUM(C33:J33)-K33</f>
        <v>0</v>
      </c>
      <c r="M33" s="102">
        <f>B33+L33</f>
        <v>0</v>
      </c>
      <c r="O33" s="64"/>
    </row>
    <row r="34" spans="1:15" ht="20.149999999999999" customHeight="1" x14ac:dyDescent="0.45">
      <c r="A34" s="89" t="s">
        <v>15</v>
      </c>
      <c r="B34" s="95"/>
      <c r="C34" s="69"/>
      <c r="D34" s="66"/>
      <c r="E34" s="66"/>
      <c r="F34" s="66"/>
      <c r="G34" s="66"/>
      <c r="H34" s="66"/>
      <c r="I34" s="66"/>
      <c r="J34" s="67"/>
      <c r="K34" s="67"/>
      <c r="L34" s="117">
        <f>SUM(C34:J34)-K34</f>
        <v>0</v>
      </c>
      <c r="M34" s="102">
        <f>B34+L34</f>
        <v>0</v>
      </c>
      <c r="O34" s="64"/>
    </row>
    <row r="35" spans="1:15" ht="20.149999999999999" customHeight="1" x14ac:dyDescent="0.45">
      <c r="A35" s="89" t="s">
        <v>16</v>
      </c>
      <c r="B35" s="95"/>
      <c r="C35" s="69"/>
      <c r="D35" s="66"/>
      <c r="E35" s="66"/>
      <c r="F35" s="66"/>
      <c r="G35" s="66"/>
      <c r="H35" s="66"/>
      <c r="I35" s="66"/>
      <c r="J35" s="67"/>
      <c r="K35" s="67"/>
      <c r="L35" s="91">
        <f>SUM(C35:J35)-K35</f>
        <v>0</v>
      </c>
      <c r="M35" s="102">
        <f>B35+L35</f>
        <v>0</v>
      </c>
      <c r="O35" s="64"/>
    </row>
    <row r="36" spans="1:15" ht="20.149999999999999" customHeight="1" thickBot="1" x14ac:dyDescent="0.5">
      <c r="A36" s="96" t="s">
        <v>11</v>
      </c>
      <c r="B36" s="97">
        <f>SUM(B33:B35)</f>
        <v>0</v>
      </c>
      <c r="C36" s="99">
        <f t="shared" ref="C36:K36" si="2">SUM(C33:C35)</f>
        <v>0</v>
      </c>
      <c r="D36" s="100">
        <f t="shared" si="2"/>
        <v>0</v>
      </c>
      <c r="E36" s="100">
        <f t="shared" si="2"/>
        <v>0</v>
      </c>
      <c r="F36" s="100">
        <f t="shared" si="2"/>
        <v>0</v>
      </c>
      <c r="G36" s="100">
        <f t="shared" si="2"/>
        <v>0</v>
      </c>
      <c r="H36" s="100">
        <f t="shared" si="2"/>
        <v>0</v>
      </c>
      <c r="I36" s="100">
        <f t="shared" si="2"/>
        <v>0</v>
      </c>
      <c r="J36" s="118">
        <f t="shared" si="2"/>
        <v>0</v>
      </c>
      <c r="K36" s="118">
        <f t="shared" si="2"/>
        <v>0</v>
      </c>
      <c r="L36" s="101">
        <f>SUM(L33:L35)</f>
        <v>0</v>
      </c>
      <c r="M36" s="99">
        <f>SUM(M33:M35)</f>
        <v>0</v>
      </c>
      <c r="O36" s="64"/>
    </row>
    <row r="37" spans="1:15" ht="20.149999999999999" customHeight="1" thickBot="1" x14ac:dyDescent="0.5">
      <c r="H37" s="103" t="s">
        <v>25</v>
      </c>
      <c r="I37" s="103"/>
      <c r="J37" s="103" t="s">
        <v>72</v>
      </c>
      <c r="K37" s="104">
        <f>I37+K36</f>
        <v>0</v>
      </c>
    </row>
    <row r="38" spans="1:15" ht="20.149999999999999" customHeight="1" x14ac:dyDescent="0.45">
      <c r="A38" s="89" t="s">
        <v>24</v>
      </c>
      <c r="B38" s="94" t="s">
        <v>0</v>
      </c>
      <c r="C38" s="98" t="s">
        <v>3</v>
      </c>
      <c r="D38" s="89" t="s">
        <v>4</v>
      </c>
      <c r="E38" s="90" t="s">
        <v>11</v>
      </c>
      <c r="I38" s="75"/>
      <c r="J38" s="75"/>
      <c r="K38" s="75"/>
    </row>
    <row r="39" spans="1:15" ht="20.149999999999999" customHeight="1" thickBot="1" x14ac:dyDescent="0.5">
      <c r="A39" s="89" t="s">
        <v>28</v>
      </c>
      <c r="B39" s="105"/>
      <c r="C39" s="69"/>
      <c r="D39" s="67"/>
      <c r="E39" s="92">
        <f>B39+C39-D39</f>
        <v>0</v>
      </c>
      <c r="G39" s="119"/>
      <c r="I39" s="75"/>
      <c r="J39" s="75"/>
      <c r="K39" s="75"/>
    </row>
    <row r="40" spans="1:15" ht="20.149999999999999" customHeight="1" x14ac:dyDescent="0.45">
      <c r="I40" s="75"/>
      <c r="J40" s="75"/>
      <c r="K40" s="120"/>
    </row>
    <row r="41" spans="1:15" ht="20.149999999999999" customHeight="1" x14ac:dyDescent="0.45">
      <c r="A41" s="131" t="s">
        <v>37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</row>
    <row r="42" spans="1:15" ht="20.149999999999999" customHeight="1" x14ac:dyDescent="0.45">
      <c r="A42" s="106" t="s">
        <v>0</v>
      </c>
      <c r="B42" s="107"/>
      <c r="C42" s="133"/>
      <c r="D42" s="133"/>
      <c r="E42" s="73"/>
      <c r="F42" s="71"/>
      <c r="G42" s="72"/>
      <c r="H42" s="74"/>
      <c r="I42" s="74"/>
      <c r="J42" s="75"/>
      <c r="K42" s="75"/>
      <c r="L42" s="108" t="s">
        <v>69</v>
      </c>
      <c r="M42" s="75"/>
    </row>
    <row r="43" spans="1:15" ht="20.149999999999999" customHeight="1" thickBot="1" x14ac:dyDescent="0.5">
      <c r="A43" s="109" t="s">
        <v>34</v>
      </c>
      <c r="B43" s="109" t="s">
        <v>29</v>
      </c>
      <c r="C43" s="70"/>
      <c r="D43" s="70"/>
      <c r="E43" s="70"/>
      <c r="F43" s="70"/>
      <c r="G43" s="70"/>
      <c r="H43" s="109" t="s">
        <v>35</v>
      </c>
      <c r="I43" s="70"/>
      <c r="J43" s="70"/>
      <c r="K43" s="76"/>
      <c r="L43" s="76"/>
      <c r="M43" s="70"/>
    </row>
    <row r="44" spans="1:15" ht="20.149999999999999" customHeight="1" x14ac:dyDescent="0.45">
      <c r="A44" s="88" t="s">
        <v>1</v>
      </c>
      <c r="B44" s="88" t="s">
        <v>27</v>
      </c>
      <c r="C44" s="88" t="s">
        <v>18</v>
      </c>
      <c r="D44" s="88" t="s">
        <v>19</v>
      </c>
      <c r="E44" s="88" t="s">
        <v>52</v>
      </c>
      <c r="F44" s="88" t="s">
        <v>56</v>
      </c>
      <c r="G44" s="88" t="s">
        <v>54</v>
      </c>
      <c r="H44" s="88" t="s">
        <v>47</v>
      </c>
      <c r="I44" s="88" t="s">
        <v>65</v>
      </c>
      <c r="J44" s="89" t="s">
        <v>64</v>
      </c>
      <c r="K44" s="111" t="s">
        <v>30</v>
      </c>
      <c r="L44" s="113" t="s">
        <v>31</v>
      </c>
      <c r="M44" s="115" t="s">
        <v>32</v>
      </c>
    </row>
    <row r="45" spans="1:15" ht="20.149999999999999" customHeight="1" thickBot="1" x14ac:dyDescent="0.5">
      <c r="A45" s="88" t="s">
        <v>28</v>
      </c>
      <c r="B45" s="110">
        <f>C43+D43+E43+F43-I43-J43-K43-L43</f>
        <v>0</v>
      </c>
      <c r="C45" s="66"/>
      <c r="D45" s="66"/>
      <c r="E45" s="66"/>
      <c r="F45" s="66"/>
      <c r="G45" s="66"/>
      <c r="H45" s="82"/>
      <c r="I45" s="66"/>
      <c r="J45" s="67"/>
      <c r="K45" s="112">
        <f>SUM(B45:J45)+M36+E39</f>
        <v>0</v>
      </c>
      <c r="L45" s="114">
        <f>B42+I29-I30</f>
        <v>0</v>
      </c>
      <c r="M45" s="116">
        <f>K45-L45</f>
        <v>0</v>
      </c>
    </row>
    <row r="46" spans="1:15" ht="20.149999999999999" customHeight="1" x14ac:dyDescent="0.45">
      <c r="K46" s="75"/>
    </row>
    <row r="47" spans="1:15" ht="20.149999999999999" customHeight="1" x14ac:dyDescent="0.45">
      <c r="I47" s="75"/>
      <c r="J47" s="75"/>
      <c r="K47" s="75"/>
    </row>
    <row r="48" spans="1:15" ht="20.149999999999999" customHeight="1" x14ac:dyDescent="0.45">
      <c r="I48" s="75"/>
      <c r="J48" s="75"/>
      <c r="K48" s="75"/>
    </row>
    <row r="49" spans="9:20" ht="20.149999999999999" customHeight="1" x14ac:dyDescent="0.45">
      <c r="I49" s="75"/>
      <c r="J49" s="75"/>
      <c r="K49" s="120"/>
    </row>
    <row r="58" spans="9:20" ht="20.149999999999999" customHeight="1" x14ac:dyDescent="0.45">
      <c r="Q58" s="128" t="s">
        <v>42</v>
      </c>
      <c r="R58" s="83" t="s">
        <v>73</v>
      </c>
      <c r="S58" s="83" t="s">
        <v>39</v>
      </c>
    </row>
    <row r="59" spans="9:20" ht="35.15" customHeight="1" x14ac:dyDescent="0.45">
      <c r="Q59" s="129"/>
      <c r="R59" s="84"/>
      <c r="S59" s="84"/>
    </row>
    <row r="62" spans="9:20" ht="20.149999999999999" customHeight="1" x14ac:dyDescent="0.45">
      <c r="Q62" s="128" t="s">
        <v>42</v>
      </c>
      <c r="R62" s="83" t="s">
        <v>73</v>
      </c>
      <c r="S62" s="83" t="s">
        <v>40</v>
      </c>
      <c r="T62" s="83" t="s">
        <v>41</v>
      </c>
    </row>
    <row r="63" spans="9:20" ht="35.15" customHeight="1" x14ac:dyDescent="0.45">
      <c r="Q63" s="129"/>
      <c r="R63" s="84"/>
      <c r="S63" s="84"/>
      <c r="T63" s="84"/>
    </row>
  </sheetData>
  <sheetProtection selectLockedCells="1"/>
  <mergeCells count="8">
    <mergeCell ref="Q58:Q59"/>
    <mergeCell ref="Q62:Q63"/>
    <mergeCell ref="A1:H1"/>
    <mergeCell ref="A2:M2"/>
    <mergeCell ref="A17:M17"/>
    <mergeCell ref="C18:D18"/>
    <mergeCell ref="A41:M41"/>
    <mergeCell ref="C42:D42"/>
  </mergeCells>
  <phoneticPr fontId="1" type="noConversion"/>
  <pageMargins left="0.21" right="0.23" top="0.28999999999999998" bottom="0.27" header="0.13" footer="0.2"/>
  <pageSetup paperSize="9" scale="7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기존시트_새파일저장_후_현재시트이월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590550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20</vt:i4>
      </vt:variant>
    </vt:vector>
  </HeadingPairs>
  <TitlesOfParts>
    <vt:vector size="40" baseType="lpstr">
      <vt:lpstr>품질관리부결산서</vt:lpstr>
      <vt:lpstr>이월</vt:lpstr>
      <vt:lpstr>이월 (3)</vt:lpstr>
      <vt:lpstr>이월 (2)</vt:lpstr>
      <vt:lpstr>이월 (5)</vt:lpstr>
      <vt:lpstr>이월 (4)</vt:lpstr>
      <vt:lpstr>이월 (7)</vt:lpstr>
      <vt:lpstr>이월 (6)</vt:lpstr>
      <vt:lpstr>이월 (9)</vt:lpstr>
      <vt:lpstr>이월 (8)</vt:lpstr>
      <vt:lpstr>이월 (11)</vt:lpstr>
      <vt:lpstr>이월 (10)</vt:lpstr>
      <vt:lpstr>이월 (15)</vt:lpstr>
      <vt:lpstr>이월 (13)</vt:lpstr>
      <vt:lpstr>이월 (12)</vt:lpstr>
      <vt:lpstr>이월 (16)</vt:lpstr>
      <vt:lpstr>이월 (14)</vt:lpstr>
      <vt:lpstr>이월 (18)</vt:lpstr>
      <vt:lpstr>이월 (17)</vt:lpstr>
      <vt:lpstr>일일결산서</vt:lpstr>
      <vt:lpstr>이월!Print_Area</vt:lpstr>
      <vt:lpstr>'이월 (10)'!Print_Area</vt:lpstr>
      <vt:lpstr>'이월 (11)'!Print_Area</vt:lpstr>
      <vt:lpstr>'이월 (12)'!Print_Area</vt:lpstr>
      <vt:lpstr>'이월 (13)'!Print_Area</vt:lpstr>
      <vt:lpstr>'이월 (14)'!Print_Area</vt:lpstr>
      <vt:lpstr>'이월 (15)'!Print_Area</vt:lpstr>
      <vt:lpstr>'이월 (16)'!Print_Area</vt:lpstr>
      <vt:lpstr>'이월 (17)'!Print_Area</vt:lpstr>
      <vt:lpstr>'이월 (18)'!Print_Area</vt:lpstr>
      <vt:lpstr>'이월 (2)'!Print_Area</vt:lpstr>
      <vt:lpstr>'이월 (3)'!Print_Area</vt:lpstr>
      <vt:lpstr>'이월 (4)'!Print_Area</vt:lpstr>
      <vt:lpstr>'이월 (5)'!Print_Area</vt:lpstr>
      <vt:lpstr>'이월 (6)'!Print_Area</vt:lpstr>
      <vt:lpstr>'이월 (7)'!Print_Area</vt:lpstr>
      <vt:lpstr>'이월 (8)'!Print_Area</vt:lpstr>
      <vt:lpstr>'이월 (9)'!Print_Area</vt:lpstr>
      <vt:lpstr>일일결산서!Print_Area</vt:lpstr>
      <vt:lpstr>품질관리부결산서!Print_Area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cho</cp:lastModifiedBy>
  <cp:lastPrinted>2026-05-31T21:53:50Z</cp:lastPrinted>
  <dcterms:created xsi:type="dcterms:W3CDTF">2025-09-02T02:04:21Z</dcterms:created>
  <dcterms:modified xsi:type="dcterms:W3CDTF">2026-06-01T11:02:34Z</dcterms:modified>
</cp:coreProperties>
</file>